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drawings/drawing9.xml" ContentType="application/vnd.openxmlformats-officedocument.drawing+xml"/>
  <Override PartName="/xl/ctrlProps/ctrlProp7.xml" ContentType="application/vnd.ms-excel.controlproperties+xml"/>
  <Override PartName="/xl/drawings/drawing10.xml" ContentType="application/vnd.openxmlformats-officedocument.drawing+xml"/>
  <Override PartName="/xl/ctrlProps/ctrlProp8.xml" ContentType="application/vnd.ms-excel.controlproperties+xml"/>
  <Override PartName="/xl/drawings/drawing11.xml" ContentType="application/vnd.openxmlformats-officedocument.drawing+xml"/>
  <Override PartName="/xl/ctrlProps/ctrlProp9.xml" ContentType="application/vnd.ms-excel.controlproperties+xml"/>
  <Override PartName="/xl/drawings/drawing12.xml" ContentType="application/vnd.openxmlformats-officedocument.drawing+xml"/>
  <Override PartName="/xl/ctrlProps/ctrlProp10.xml" ContentType="application/vnd.ms-excel.controlproperties+xml"/>
  <Override PartName="/xl/drawings/drawing13.xml" ContentType="application/vnd.openxmlformats-officedocument.drawing+xml"/>
  <Override PartName="/xl/ctrlProps/ctrlProp11.xml" ContentType="application/vnd.ms-excel.controlproperties+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trlProps/ctrlProp13.xml" ContentType="application/vnd.ms-excel.controlproperties+xml"/>
  <Override PartName="/xl/drawings/drawing16.xml" ContentType="application/vnd.openxmlformats-officedocument.drawing+xml"/>
  <Override PartName="/xl/ctrlProps/ctrlProp14.xml" ContentType="application/vnd.ms-excel.controlproperties+xml"/>
  <Override PartName="/xl/drawings/drawing17.xml" ContentType="application/vnd.openxmlformats-officedocument.drawing+xml"/>
  <Override PartName="/xl/ctrlProps/ctrlProp15.xml" ContentType="application/vnd.ms-excel.controlproperties+xml"/>
  <Override PartName="/xl/drawings/drawing18.xml" ContentType="application/vnd.openxmlformats-officedocument.drawing+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drawings/drawing21.xml" ContentType="application/vnd.openxmlformats-officedocument.drawing+xml"/>
  <Override PartName="/xl/ctrlProps/ctrlProp19.xml" ContentType="application/vnd.ms-excel.controlproperties+xml"/>
  <Override PartName="/xl/drawings/drawing22.xml" ContentType="application/vnd.openxmlformats-officedocument.drawing+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ctrlProps/ctrlProp23.xml" ContentType="application/vnd.ms-excel.controlproperties+xml"/>
  <Override PartName="/xl/drawings/drawing26.xml" ContentType="application/vnd.openxmlformats-officedocument.drawing+xml"/>
  <Override PartName="/xl/ctrlProps/ctrlProp24.xml" ContentType="application/vnd.ms-excel.controlproperties+xml"/>
  <Override PartName="/xl/drawings/drawing27.xml" ContentType="application/vnd.openxmlformats-officedocument.drawing+xml"/>
  <Override PartName="/xl/ctrlProps/ctrlProp25.xml" ContentType="application/vnd.ms-excel.controlproperties+xml"/>
  <Override PartName="/xl/drawings/drawing28.xml" ContentType="application/vnd.openxmlformats-officedocument.drawing+xml"/>
  <Override PartName="/xl/ctrlProps/ctrlProp26.xml" ContentType="application/vnd.ms-excel.controlproperties+xml"/>
  <Override PartName="/xl/drawings/drawing29.xml" ContentType="application/vnd.openxmlformats-officedocument.drawing+xml"/>
  <Override PartName="/xl/ctrlProps/ctrlProp27.xml" ContentType="application/vnd.ms-excel.controlproperties+xml"/>
  <Override PartName="/xl/drawings/drawing30.xml" ContentType="application/vnd.openxmlformats-officedocument.drawing+xml"/>
  <Override PartName="/xl/ctrlProps/ctrlProp28.xml" ContentType="application/vnd.ms-excel.controlproperties+xml"/>
  <Override PartName="/xl/drawings/drawing31.xml" ContentType="application/vnd.openxmlformats-officedocument.drawing+xml"/>
  <Override PartName="/xl/ctrlProps/ctrlProp29.xml" ContentType="application/vnd.ms-excel.controlproperties+xml"/>
  <Override PartName="/xl/drawings/drawing32.xml" ContentType="application/vnd.openxmlformats-officedocument.drawing+xml"/>
  <Override PartName="/xl/ctrlProps/ctrlProp30.xml" ContentType="application/vnd.ms-excel.controlproperties+xml"/>
  <Override PartName="/xl/drawings/drawing33.xml" ContentType="application/vnd.openxmlformats-officedocument.drawing+xml"/>
  <Override PartName="/xl/ctrlProps/ctrlProp31.xml" ContentType="application/vnd.ms-excel.controlproperties+xml"/>
  <Override PartName="/xl/drawings/drawing34.xml" ContentType="application/vnd.openxmlformats-officedocument.drawing+xml"/>
  <Override PartName="/xl/ctrlProps/ctrlProp32.xml" ContentType="application/vnd.ms-excel.controlproperties+xml"/>
  <Override PartName="/xl/drawings/drawing35.xml" ContentType="application/vnd.openxmlformats-officedocument.drawing+xml"/>
  <Override PartName="/xl/ctrlProps/ctrlProp33.xml" ContentType="application/vnd.ms-excel.controlproperties+xml"/>
  <Override PartName="/xl/drawings/drawing36.xml" ContentType="application/vnd.openxmlformats-officedocument.drawing+xml"/>
  <Override PartName="/xl/ctrlProps/ctrlProp34.xml" ContentType="application/vnd.ms-excel.controlproperties+xml"/>
  <Override PartName="/xl/drawings/drawing37.xml" ContentType="application/vnd.openxmlformats-officedocument.drawing+xml"/>
  <Override PartName="/xl/ctrlProps/ctrlProp35.xml" ContentType="application/vnd.ms-excel.controlproperties+xml"/>
  <Override PartName="/xl/drawings/drawing38.xml" ContentType="application/vnd.openxmlformats-officedocument.drawing+xml"/>
  <Override PartName="/xl/ctrlProps/ctrlProp3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piagroupnl.sharepoint.com/sites/PIATeam/Algemeen/05. Ops/01. Projecten/09. AI/04. Complexe toepassingen/02. Use cases/"/>
    </mc:Choice>
  </mc:AlternateContent>
  <xr:revisionPtr revIDLastSave="0" documentId="8_{92838A75-3C47-448C-8841-38F861C5CADF}" xr6:coauthVersionLast="47" xr6:coauthVersionMax="47" xr10:uidLastSave="{00000000-0000-0000-0000-000000000000}"/>
  <bookViews>
    <workbookView minimized="1" xWindow="5810" yWindow="3370" windowWidth="14160" windowHeight="8320" tabRatio="926" activeTab="1" xr2:uid="{00000000-000D-0000-FFFF-FFFF00000000}"/>
  </bookViews>
  <sheets>
    <sheet name="Start" sheetId="1" r:id="rId1"/>
    <sheet name="Menu" sheetId="2" r:id="rId2"/>
    <sheet name="Klantgegevens" sheetId="3" r:id="rId3"/>
    <sheet name="Grondslagen en uitgangspunten" sheetId="4" r:id="rId4"/>
    <sheet name="Immateriële vaste activa" sheetId="5" r:id="rId5"/>
    <sheet name="Materiële vaste activa" sheetId="6" r:id="rId6"/>
    <sheet name="Financiële vaste activa" sheetId="7" r:id="rId7"/>
    <sheet name="Voorraden" sheetId="8" r:id="rId8"/>
    <sheet name="Vorderingen overl.activa" sheetId="9" r:id="rId9"/>
    <sheet name="Effecten" sheetId="10" r:id="rId10"/>
    <sheet name="Liquide middelen" sheetId="11" r:id="rId11"/>
    <sheet name="Niet in de balans opgen activa" sheetId="12" r:id="rId12"/>
    <sheet name="Eigen vermogen" sheetId="13" r:id="rId13"/>
    <sheet name="Voorzieningen" sheetId="14" r:id="rId14"/>
    <sheet name="Schulden lange korte termijn" sheetId="15" r:id="rId15"/>
    <sheet name="Niet in de balans opgen verpl." sheetId="16" r:id="rId16"/>
    <sheet name="Winst- en verliesrek." sheetId="17" r:id="rId17"/>
    <sheet name="Belasting naar de winst" sheetId="18" r:id="rId18"/>
    <sheet name="Beëindiging bedr.activiteiten" sheetId="19" r:id="rId19"/>
    <sheet name="Verbonden partijen" sheetId="20" r:id="rId20"/>
    <sheet name="Kasstroomoverzicht" sheetId="21" r:id="rId21"/>
    <sheet name="Bestuursverslag" sheetId="22" r:id="rId22"/>
    <sheet name="Overige gegevens" sheetId="23" r:id="rId23"/>
    <sheet name="Gebeurtenissen na balansdatum" sheetId="24" r:id="rId24"/>
    <sheet name="Overige toelichtingen" sheetId="25" r:id="rId25"/>
    <sheet name="Grote rechtspersonen" sheetId="26" r:id="rId26"/>
    <sheet name="Microrechtspersonen" sheetId="27" r:id="rId27"/>
    <sheet name="Ent zonder rechtspersoonlijkh" sheetId="28" r:id="rId28"/>
    <sheet name="Commerciële stichtingen en ver." sheetId="29" r:id="rId29"/>
    <sheet name="Org. zonder winststreven" sheetId="30" r:id="rId30"/>
    <sheet name="Concernverhoudingen" sheetId="31" r:id="rId31"/>
    <sheet name="Financiële instrumenten" sheetId="32" r:id="rId32"/>
    <sheet name="Duurzaamheid" sheetId="38" r:id="rId33"/>
    <sheet name="Accountantscontrole" sheetId="33" r:id="rId34"/>
    <sheet name="Financ. anal en kengetallen" sheetId="34" r:id="rId35"/>
    <sheet name="Segmentatie" sheetId="35" r:id="rId36"/>
    <sheet name="Samengestelde transacties" sheetId="36" r:id="rId37"/>
    <sheet name="Termijnen jaarrekening" sheetId="37" r:id="rId38"/>
  </sheets>
  <definedNames>
    <definedName name="_xlnm._FilterDatabase" localSheetId="33" hidden="1">Accountantscontrole!$B$5:$G$43</definedName>
    <definedName name="_xlnm._FilterDatabase" localSheetId="18" hidden="1">'Beëindiging bedr.activiteiten'!$B$5:$G$19</definedName>
    <definedName name="_xlnm._FilterDatabase" localSheetId="17" hidden="1">'Belasting naar de winst'!$B$5:$G$38</definedName>
    <definedName name="_xlnm._FilterDatabase" localSheetId="21" hidden="1">Bestuursverslag!$B$5:$G$72</definedName>
    <definedName name="_xlnm._FilterDatabase" localSheetId="28" hidden="1">'Commerciële stichtingen en ver.'!$B$5:$G$39</definedName>
    <definedName name="_xlnm._FilterDatabase" localSheetId="30" hidden="1">Concernverhoudingen!$B$5:$G$98</definedName>
    <definedName name="_xlnm._FilterDatabase" localSheetId="32" hidden="1">Duurzaamheid!$B$5:$G$35</definedName>
    <definedName name="_xlnm._FilterDatabase" localSheetId="9" hidden="1">Effecten!$B$5:$G$38</definedName>
    <definedName name="_xlnm._FilterDatabase" localSheetId="12" hidden="1">'Eigen vermogen'!$B$5:$G$173</definedName>
    <definedName name="_xlnm._FilterDatabase" localSheetId="27" hidden="1">'Ent zonder rechtspersoonlijkh'!$B$5:$G$39</definedName>
    <definedName name="_xlnm._FilterDatabase" localSheetId="34" hidden="1">'Financ. anal en kengetallen'!$B$5:$G$49</definedName>
    <definedName name="_xlnm._FilterDatabase" localSheetId="31" hidden="1">'Financiële instrumenten'!$B$5:$G$109</definedName>
    <definedName name="_xlnm._FilterDatabase" localSheetId="6" hidden="1">'Financiële vaste activa'!$B$5:$G$131</definedName>
    <definedName name="_xlnm._FilterDatabase" localSheetId="23" hidden="1">'Gebeurtenissen na balansdatum'!$B$5:$G$22</definedName>
    <definedName name="_xlnm._FilterDatabase" localSheetId="3" hidden="1">'Grondslagen en uitgangspunten'!$B$5:$G$146</definedName>
    <definedName name="_xlnm._FilterDatabase" localSheetId="25" hidden="1">'Grote rechtspersonen'!$B$5:$G$101</definedName>
    <definedName name="_xlnm._FilterDatabase" localSheetId="4" hidden="1">'Immateriële vaste activa'!$B$5:$G$106</definedName>
    <definedName name="_xlnm._FilterDatabase" localSheetId="20" hidden="1">Kasstroomoverzicht!$B$5:$G$39</definedName>
    <definedName name="_xlnm._FilterDatabase" localSheetId="10" hidden="1">'Liquide middelen'!$B$5:$G$18</definedName>
    <definedName name="_xlnm._FilterDatabase" localSheetId="5" hidden="1">'Materiële vaste activa'!$B$5:$G$168</definedName>
    <definedName name="_xlnm._FilterDatabase" localSheetId="26" hidden="1">Microrechtspersonen!$B$5:$G$76</definedName>
    <definedName name="_xlnm._FilterDatabase" localSheetId="11" hidden="1">'Niet in de balans opgen activa'!$B$5:$G$18</definedName>
    <definedName name="_xlnm._FilterDatabase" localSheetId="15" hidden="1">'Niet in de balans opgen verpl.'!$B$5:$G$33</definedName>
    <definedName name="_xlnm._FilterDatabase" localSheetId="29" hidden="1">'Org. zonder winststreven'!$B$5:$G$89</definedName>
    <definedName name="_xlnm._FilterDatabase" localSheetId="22" hidden="1">'Overige gegevens'!$B$5:$G$19</definedName>
    <definedName name="_xlnm._FilterDatabase" localSheetId="24" hidden="1">'Overige toelichtingen'!$B$5:$G$27</definedName>
    <definedName name="_xlnm._FilterDatabase" localSheetId="36" hidden="1">'Samengestelde transacties'!$B$5:$G$16</definedName>
    <definedName name="_xlnm._FilterDatabase" localSheetId="14" hidden="1">'Schulden lange korte termijn'!$B$5:$G$68</definedName>
    <definedName name="_xlnm._FilterDatabase" localSheetId="35" hidden="1">Segmentatie!$B$5:$G$17</definedName>
    <definedName name="_xlnm._FilterDatabase" localSheetId="37" hidden="1">'Termijnen jaarrekening'!$B$5:$G$16</definedName>
    <definedName name="_xlnm._FilterDatabase" localSheetId="19" hidden="1">'Verbonden partijen'!$B$5:$G$11</definedName>
    <definedName name="_xlnm._FilterDatabase" localSheetId="7" hidden="1">Voorraden!$B$5:$G$109</definedName>
    <definedName name="_xlnm._FilterDatabase" localSheetId="13" hidden="1">Voorzieningen!$B$5:$G$183</definedName>
    <definedName name="_xlnm._FilterDatabase" localSheetId="8" hidden="1">'Vorderingen overl.activa'!$B$5:$G$55</definedName>
    <definedName name="_xlnm._FilterDatabase" localSheetId="16" hidden="1">'Winst- en verliesrek.'!$B$5:$G$169</definedName>
    <definedName name="Boekjaar">Klantgegevens!$B$9</definedName>
    <definedName name="Hoofdmenu" localSheetId="0">Start!#REF!</definedName>
    <definedName name="Hoofdmenu">Menu!$A$1</definedName>
    <definedName name="Klantnummer">Klantgegevens!$B$5</definedName>
    <definedName name="Naam_klant">Klantgegevens!$B$6</definedName>
    <definedName name="Omvang__K_M_of_G">Klantgegevens!$B$8</definedName>
    <definedName name="_xlnm.Print_Area" localSheetId="33">Accountantscontrole!$A$6:$J$43</definedName>
    <definedName name="_xlnm.Print_Area" localSheetId="18">'Beëindiging bedr.activiteiten'!$A$6:$J$19</definedName>
    <definedName name="_xlnm.Print_Area" localSheetId="17">'Belasting naar de winst'!$A$6:$J$38</definedName>
    <definedName name="_xlnm.Print_Area" localSheetId="21">Bestuursverslag!$A$6:$J$72</definedName>
    <definedName name="_xlnm.Print_Area" localSheetId="28">'Commerciële stichtingen en ver.'!$A$7:$J$38</definedName>
    <definedName name="_xlnm.Print_Area" localSheetId="30">Concernverhoudingen!$A$6:$J$86</definedName>
    <definedName name="_xlnm.Print_Area" localSheetId="9">Effecten!$A$6:$J$38</definedName>
    <definedName name="_xlnm.Print_Area" localSheetId="12">'Eigen vermogen'!$A$6:$J$160</definedName>
    <definedName name="_xlnm.Print_Area" localSheetId="27">'Ent zonder rechtspersoonlijkh'!$A$6:$J$34</definedName>
    <definedName name="_xlnm.Print_Area" localSheetId="34">'Financ. anal en kengetallen'!$A$6:$J$49</definedName>
    <definedName name="_xlnm.Print_Area" localSheetId="31">'Financiële instrumenten'!$A$6:$J$109</definedName>
    <definedName name="_xlnm.Print_Area" localSheetId="6">'Financiële vaste activa'!$A$7:$J$131</definedName>
    <definedName name="_xlnm.Print_Area" localSheetId="23">'Gebeurtenissen na balansdatum'!$A$6:$J$21</definedName>
    <definedName name="_xlnm.Print_Area" localSheetId="3">'Grondslagen en uitgangspunten'!$A$6:$J$146</definedName>
    <definedName name="_xlnm.Print_Area" localSheetId="25">'Grote rechtspersonen'!$A$6:$J$101</definedName>
    <definedName name="_xlnm.Print_Area" localSheetId="4">'Immateriële vaste activa'!$A$7:$J$106</definedName>
    <definedName name="_xlnm.Print_Area" localSheetId="20">Kasstroomoverzicht!$A$6:$J$39</definedName>
    <definedName name="_xlnm.Print_Area" localSheetId="2">Klantgegevens!$A$1:$J$55</definedName>
    <definedName name="_xlnm.Print_Area" localSheetId="10">'Liquide middelen'!$A$7:$J$18</definedName>
    <definedName name="_xlnm.Print_Area" localSheetId="5">'Materiële vaste activa'!$A$5:$J$168</definedName>
    <definedName name="_xlnm.Print_Area" localSheetId="1">Menu!$A$1:$I$46</definedName>
    <definedName name="_xlnm.Print_Area" localSheetId="26">Microrechtspersonen!$A$6:$J$66</definedName>
    <definedName name="_xlnm.Print_Area" localSheetId="11">'Niet in de balans opgen activa'!$A$7:$J$18</definedName>
    <definedName name="_xlnm.Print_Area" localSheetId="15">'Niet in de balans opgen verpl.'!$A$7:$J$33</definedName>
    <definedName name="_xlnm.Print_Area" localSheetId="29">'Org. zonder winststreven'!$A$6:$J$89</definedName>
    <definedName name="_xlnm.Print_Area" localSheetId="22">'Overige gegevens'!$A$6:$J$19</definedName>
    <definedName name="_xlnm.Print_Area" localSheetId="24">'Overige toelichtingen'!$A$6:$J$10</definedName>
    <definedName name="_xlnm.Print_Area" localSheetId="36">'Samengestelde transacties'!$A$6:$J$16</definedName>
    <definedName name="_xlnm.Print_Area" localSheetId="14">'Schulden lange korte termijn'!$A$7:$J$68</definedName>
    <definedName name="_xlnm.Print_Area" localSheetId="35">Segmentatie!$A$6:$J$16</definedName>
    <definedName name="_xlnm.Print_Area" localSheetId="0">Start!$A$1:$A$21</definedName>
    <definedName name="_xlnm.Print_Area" localSheetId="37">'Termijnen jaarrekening'!$A$6:$J$16</definedName>
    <definedName name="_xlnm.Print_Area" localSheetId="19">'Verbonden partijen'!$A$6:$J$10</definedName>
    <definedName name="_xlnm.Print_Area" localSheetId="7">Voorraden!$A$7:$J$108</definedName>
    <definedName name="_xlnm.Print_Area" localSheetId="13">Voorzieningen!$A$7:$J$183</definedName>
    <definedName name="_xlnm.Print_Area" localSheetId="8">'Vorderingen overl.activa'!$A$7:$J$54</definedName>
    <definedName name="_xlnm.Print_Area" localSheetId="16">'Winst- en verliesrek.'!$A$6:$J$167</definedName>
    <definedName name="_xlnm.Print_Titles" localSheetId="33">Accountantscontrole!$1:$5</definedName>
    <definedName name="_xlnm.Print_Titles" localSheetId="18">'Beëindiging bedr.activiteiten'!$1:$5</definedName>
    <definedName name="_xlnm.Print_Titles" localSheetId="17">'Belasting naar de winst'!$1:$5</definedName>
    <definedName name="_xlnm.Print_Titles" localSheetId="21">Bestuursverslag!$1:$5</definedName>
    <definedName name="_xlnm.Print_Titles" localSheetId="28">'Commerciële stichtingen en ver.'!$1:$5</definedName>
    <definedName name="_xlnm.Print_Titles" localSheetId="30">Concernverhoudingen!$1:$5</definedName>
    <definedName name="_xlnm.Print_Titles" localSheetId="9">Effecten!$1:$5</definedName>
    <definedName name="_xlnm.Print_Titles" localSheetId="12">'Eigen vermogen'!$1:$5</definedName>
    <definedName name="_xlnm.Print_Titles" localSheetId="27">'Ent zonder rechtspersoonlijkh'!$1:$5</definedName>
    <definedName name="_xlnm.Print_Titles" localSheetId="34">'Financ. anal en kengetallen'!$1:$5</definedName>
    <definedName name="_xlnm.Print_Titles" localSheetId="31">'Financiële instrumenten'!$1:$5</definedName>
    <definedName name="_xlnm.Print_Titles" localSheetId="6">'Financiële vaste activa'!$1:$5</definedName>
    <definedName name="_xlnm.Print_Titles" localSheetId="23">'Gebeurtenissen na balansdatum'!$1:$5</definedName>
    <definedName name="_xlnm.Print_Titles" localSheetId="3">'Grondslagen en uitgangspunten'!$1:$5</definedName>
    <definedName name="_xlnm.Print_Titles" localSheetId="25">'Grote rechtspersonen'!$1:$5</definedName>
    <definedName name="_xlnm.Print_Titles" localSheetId="4">'Immateriële vaste activa'!$1:$5</definedName>
    <definedName name="_xlnm.Print_Titles" localSheetId="20">Kasstroomoverzicht!$1:$5</definedName>
    <definedName name="_xlnm.Print_Titles" localSheetId="10">'Liquide middelen'!$1:$5</definedName>
    <definedName name="_xlnm.Print_Titles" localSheetId="5">'Materiële vaste activa'!$1:$4</definedName>
    <definedName name="_xlnm.Print_Titles" localSheetId="26">Microrechtspersonen!$1:$5</definedName>
    <definedName name="_xlnm.Print_Titles" localSheetId="11">'Niet in de balans opgen activa'!$1:$5</definedName>
    <definedName name="_xlnm.Print_Titles" localSheetId="15">'Niet in de balans opgen verpl.'!$1:$5</definedName>
    <definedName name="_xlnm.Print_Titles" localSheetId="29">'Org. zonder winststreven'!$1:$5</definedName>
    <definedName name="_xlnm.Print_Titles" localSheetId="22">'Overige gegevens'!$1:$5</definedName>
    <definedName name="_xlnm.Print_Titles" localSheetId="24">'Overige toelichtingen'!$1:$5</definedName>
    <definedName name="_xlnm.Print_Titles" localSheetId="36">'Samengestelde transacties'!$1:$5</definedName>
    <definedName name="_xlnm.Print_Titles" localSheetId="14">'Schulden lange korte termijn'!$1:$5</definedName>
    <definedName name="_xlnm.Print_Titles" localSheetId="35">Segmentatie!$1:$5</definedName>
    <definedName name="_xlnm.Print_Titles" localSheetId="37">'Termijnen jaarrekening'!$1:$5</definedName>
    <definedName name="_xlnm.Print_Titles" localSheetId="19">'Verbonden partijen'!$1:$5</definedName>
    <definedName name="_xlnm.Print_Titles" localSheetId="7">Voorraden!$1:$5</definedName>
    <definedName name="_xlnm.Print_Titles" localSheetId="13">Voorzieningen!$1:$5</definedName>
    <definedName name="_xlnm.Print_Titles" localSheetId="8">'Vorderingen overl.activa'!$1:$5</definedName>
    <definedName name="_xlnm.Print_Titles" localSheetId="16">'Winst- en verliesrek.'!$1:$5</definedName>
    <definedName name="Z_33D191C9_AE75_45EC_B301_B583C3381734_.wvu.FilterData" localSheetId="33" hidden="1">Accountantscontrole!$B$5:$G$43</definedName>
    <definedName name="Z_33D191C9_AE75_45EC_B301_B583C3381734_.wvu.FilterData" localSheetId="18" hidden="1">'Beëindiging bedr.activiteiten'!$B$5:$G$19</definedName>
    <definedName name="Z_33D191C9_AE75_45EC_B301_B583C3381734_.wvu.FilterData" localSheetId="17" hidden="1">'Belasting naar de winst'!$B$5:$G$38</definedName>
    <definedName name="Z_33D191C9_AE75_45EC_B301_B583C3381734_.wvu.FilterData" localSheetId="21" hidden="1">Bestuursverslag!$B$5:$G$72</definedName>
    <definedName name="Z_33D191C9_AE75_45EC_B301_B583C3381734_.wvu.FilterData" localSheetId="28" hidden="1">'Commerciële stichtingen en ver.'!$B$5:$G$39</definedName>
    <definedName name="Z_33D191C9_AE75_45EC_B301_B583C3381734_.wvu.FilterData" localSheetId="30" hidden="1">Concernverhoudingen!$B$5:$G$86</definedName>
    <definedName name="Z_33D191C9_AE75_45EC_B301_B583C3381734_.wvu.FilterData" localSheetId="9" hidden="1">Effecten!$B$5:$G$38</definedName>
    <definedName name="Z_33D191C9_AE75_45EC_B301_B583C3381734_.wvu.FilterData" localSheetId="12" hidden="1">'Eigen vermogen'!$B$5:$G$173</definedName>
    <definedName name="Z_33D191C9_AE75_45EC_B301_B583C3381734_.wvu.FilterData" localSheetId="27" hidden="1">'Ent zonder rechtspersoonlijkh'!$B$5:$G$34</definedName>
    <definedName name="Z_33D191C9_AE75_45EC_B301_B583C3381734_.wvu.FilterData" localSheetId="34" hidden="1">'Financ. anal en kengetallen'!$B$5:$G$49</definedName>
    <definedName name="Z_33D191C9_AE75_45EC_B301_B583C3381734_.wvu.FilterData" localSheetId="31" hidden="1">'Financiële instrumenten'!$B$5:$G$109</definedName>
    <definedName name="Z_33D191C9_AE75_45EC_B301_B583C3381734_.wvu.FilterData" localSheetId="6" hidden="1">'Financiële vaste activa'!$B$5:$G$131</definedName>
    <definedName name="Z_33D191C9_AE75_45EC_B301_B583C3381734_.wvu.FilterData" localSheetId="23" hidden="1">'Gebeurtenissen na balansdatum'!$B$5:$G$22</definedName>
    <definedName name="Z_33D191C9_AE75_45EC_B301_B583C3381734_.wvu.FilterData" localSheetId="3" hidden="1">'Grondslagen en uitgangspunten'!$B$5:$G$146</definedName>
    <definedName name="Z_33D191C9_AE75_45EC_B301_B583C3381734_.wvu.FilterData" localSheetId="25" hidden="1">'Grote rechtspersonen'!$B$5:$G$101</definedName>
    <definedName name="Z_33D191C9_AE75_45EC_B301_B583C3381734_.wvu.FilterData" localSheetId="4" hidden="1">'Immateriële vaste activa'!$B$5:$G$106</definedName>
    <definedName name="Z_33D191C9_AE75_45EC_B301_B583C3381734_.wvu.FilterData" localSheetId="20" hidden="1">Kasstroomoverzicht!$B$5:$G$39</definedName>
    <definedName name="Z_33D191C9_AE75_45EC_B301_B583C3381734_.wvu.FilterData" localSheetId="10" hidden="1">'Liquide middelen'!$B$5:$G$18</definedName>
    <definedName name="Z_33D191C9_AE75_45EC_B301_B583C3381734_.wvu.FilterData" localSheetId="5" hidden="1">'Materiële vaste activa'!$B$5:$G$168</definedName>
    <definedName name="Z_33D191C9_AE75_45EC_B301_B583C3381734_.wvu.FilterData" localSheetId="26" hidden="1">Microrechtspersonen!$B$5:$G$66</definedName>
    <definedName name="Z_33D191C9_AE75_45EC_B301_B583C3381734_.wvu.FilterData" localSheetId="11" hidden="1">'Niet in de balans opgen activa'!$B$5:$G$18</definedName>
    <definedName name="Z_33D191C9_AE75_45EC_B301_B583C3381734_.wvu.FilterData" localSheetId="15" hidden="1">'Niet in de balans opgen verpl.'!$B$5:$G$33</definedName>
    <definedName name="Z_33D191C9_AE75_45EC_B301_B583C3381734_.wvu.FilterData" localSheetId="29" hidden="1">'Org. zonder winststreven'!$B$5:$G$89</definedName>
    <definedName name="Z_33D191C9_AE75_45EC_B301_B583C3381734_.wvu.FilterData" localSheetId="22" hidden="1">'Overige gegevens'!$B$5:$G$19</definedName>
    <definedName name="Z_33D191C9_AE75_45EC_B301_B583C3381734_.wvu.FilterData" localSheetId="24" hidden="1">'Overige toelichtingen'!$B$5:$G$14</definedName>
    <definedName name="Z_33D191C9_AE75_45EC_B301_B583C3381734_.wvu.FilterData" localSheetId="36" hidden="1">'Samengestelde transacties'!$B$5:$G$16</definedName>
    <definedName name="Z_33D191C9_AE75_45EC_B301_B583C3381734_.wvu.FilterData" localSheetId="14" hidden="1">'Schulden lange korte termijn'!$B$5:$G$68</definedName>
    <definedName name="Z_33D191C9_AE75_45EC_B301_B583C3381734_.wvu.FilterData" localSheetId="35" hidden="1">Segmentatie!$B$5:$G$17</definedName>
    <definedName name="Z_33D191C9_AE75_45EC_B301_B583C3381734_.wvu.FilterData" localSheetId="37" hidden="1">'Termijnen jaarrekening'!$B$5:$G$16</definedName>
    <definedName name="Z_33D191C9_AE75_45EC_B301_B583C3381734_.wvu.FilterData" localSheetId="19" hidden="1">'Verbonden partijen'!$B$5:$G$10</definedName>
    <definedName name="Z_33D191C9_AE75_45EC_B301_B583C3381734_.wvu.FilterData" localSheetId="7" hidden="1">Voorraden!$B$5:$G$108</definedName>
    <definedName name="Z_33D191C9_AE75_45EC_B301_B583C3381734_.wvu.FilterData" localSheetId="13" hidden="1">Voorzieningen!$B$5:$G$183</definedName>
    <definedName name="Z_33D191C9_AE75_45EC_B301_B583C3381734_.wvu.FilterData" localSheetId="8" hidden="1">'Vorderingen overl.activa'!$B$5:$G$54</definedName>
    <definedName name="Z_33D191C9_AE75_45EC_B301_B583C3381734_.wvu.FilterData" localSheetId="16" hidden="1">'Winst- en verliesrek.'!$B$5:$G$167</definedName>
    <definedName name="Z_33D191C9_AE75_45EC_B301_B583C3381734_.wvu.PrintArea" localSheetId="33" hidden="1">Accountantscontrole!$A$6:$J$43</definedName>
    <definedName name="Z_33D191C9_AE75_45EC_B301_B583C3381734_.wvu.PrintArea" localSheetId="18" hidden="1">'Beëindiging bedr.activiteiten'!$A$6:$J$19</definedName>
    <definedName name="Z_33D191C9_AE75_45EC_B301_B583C3381734_.wvu.PrintArea" localSheetId="17" hidden="1">'Belasting naar de winst'!$A$6:$J$38</definedName>
    <definedName name="Z_33D191C9_AE75_45EC_B301_B583C3381734_.wvu.PrintArea" localSheetId="21" hidden="1">Bestuursverslag!$A$6:$J$72</definedName>
    <definedName name="Z_33D191C9_AE75_45EC_B301_B583C3381734_.wvu.PrintArea" localSheetId="28" hidden="1">'Commerciële stichtingen en ver.'!$A$7:$J$38</definedName>
    <definedName name="Z_33D191C9_AE75_45EC_B301_B583C3381734_.wvu.PrintArea" localSheetId="30" hidden="1">Concernverhoudingen!$A$6:$J$86</definedName>
    <definedName name="Z_33D191C9_AE75_45EC_B301_B583C3381734_.wvu.PrintArea" localSheetId="9" hidden="1">Effecten!$A$6:$J$38</definedName>
    <definedName name="Z_33D191C9_AE75_45EC_B301_B583C3381734_.wvu.PrintArea" localSheetId="12" hidden="1">'Eigen vermogen'!$A$6:$J$160</definedName>
    <definedName name="Z_33D191C9_AE75_45EC_B301_B583C3381734_.wvu.PrintArea" localSheetId="27" hidden="1">'Ent zonder rechtspersoonlijkh'!$A$6:$J$34</definedName>
    <definedName name="Z_33D191C9_AE75_45EC_B301_B583C3381734_.wvu.PrintArea" localSheetId="34" hidden="1">'Financ. anal en kengetallen'!$A$6:$J$49</definedName>
    <definedName name="Z_33D191C9_AE75_45EC_B301_B583C3381734_.wvu.PrintArea" localSheetId="31" hidden="1">'Financiële instrumenten'!$A$6:$J$109</definedName>
    <definedName name="Z_33D191C9_AE75_45EC_B301_B583C3381734_.wvu.PrintArea" localSheetId="6" hidden="1">'Financiële vaste activa'!$A$7:$J$131</definedName>
    <definedName name="Z_33D191C9_AE75_45EC_B301_B583C3381734_.wvu.PrintArea" localSheetId="23" hidden="1">'Gebeurtenissen na balansdatum'!$A$6:$J$21</definedName>
    <definedName name="Z_33D191C9_AE75_45EC_B301_B583C3381734_.wvu.PrintArea" localSheetId="3" hidden="1">'Grondslagen en uitgangspunten'!$A$6:$J$146</definedName>
    <definedName name="Z_33D191C9_AE75_45EC_B301_B583C3381734_.wvu.PrintArea" localSheetId="25" hidden="1">'Grote rechtspersonen'!$A$6:$J$101</definedName>
    <definedName name="Z_33D191C9_AE75_45EC_B301_B583C3381734_.wvu.PrintArea" localSheetId="4" hidden="1">'Immateriële vaste activa'!$A$7:$J$106</definedName>
    <definedName name="Z_33D191C9_AE75_45EC_B301_B583C3381734_.wvu.PrintArea" localSheetId="20" hidden="1">Kasstroomoverzicht!$A$6:$J$39</definedName>
    <definedName name="Z_33D191C9_AE75_45EC_B301_B583C3381734_.wvu.PrintArea" localSheetId="2" hidden="1">Klantgegevens!$A$1:$J$55</definedName>
    <definedName name="Z_33D191C9_AE75_45EC_B301_B583C3381734_.wvu.PrintArea" localSheetId="10" hidden="1">'Liquide middelen'!$A$7:$J$18</definedName>
    <definedName name="Z_33D191C9_AE75_45EC_B301_B583C3381734_.wvu.PrintArea" localSheetId="5" hidden="1">'Materiële vaste activa'!$A$5:$J$168</definedName>
    <definedName name="Z_33D191C9_AE75_45EC_B301_B583C3381734_.wvu.PrintArea" localSheetId="1" hidden="1">Menu!$A$1:$I$46</definedName>
    <definedName name="Z_33D191C9_AE75_45EC_B301_B583C3381734_.wvu.PrintArea" localSheetId="26" hidden="1">Microrechtspersonen!$A$6:$J$66</definedName>
    <definedName name="Z_33D191C9_AE75_45EC_B301_B583C3381734_.wvu.PrintArea" localSheetId="11" hidden="1">'Niet in de balans opgen activa'!$A$7:$J$18</definedName>
    <definedName name="Z_33D191C9_AE75_45EC_B301_B583C3381734_.wvu.PrintArea" localSheetId="15" hidden="1">'Niet in de balans opgen verpl.'!$A$7:$J$33</definedName>
    <definedName name="Z_33D191C9_AE75_45EC_B301_B583C3381734_.wvu.PrintArea" localSheetId="29" hidden="1">'Org. zonder winststreven'!$A$6:$J$89</definedName>
    <definedName name="Z_33D191C9_AE75_45EC_B301_B583C3381734_.wvu.PrintArea" localSheetId="22" hidden="1">'Overige gegevens'!$A$6:$J$19</definedName>
    <definedName name="Z_33D191C9_AE75_45EC_B301_B583C3381734_.wvu.PrintArea" localSheetId="24" hidden="1">'Overige toelichtingen'!$A$6:$J$10</definedName>
    <definedName name="Z_33D191C9_AE75_45EC_B301_B583C3381734_.wvu.PrintArea" localSheetId="36" hidden="1">'Samengestelde transacties'!$A$6:$J$16</definedName>
    <definedName name="Z_33D191C9_AE75_45EC_B301_B583C3381734_.wvu.PrintArea" localSheetId="14" hidden="1">'Schulden lange korte termijn'!$A$7:$J$68</definedName>
    <definedName name="Z_33D191C9_AE75_45EC_B301_B583C3381734_.wvu.PrintArea" localSheetId="35" hidden="1">Segmentatie!$A$6:$J$16</definedName>
    <definedName name="Z_33D191C9_AE75_45EC_B301_B583C3381734_.wvu.PrintArea" localSheetId="0" hidden="1">Start!$A$1:$A$21</definedName>
    <definedName name="Z_33D191C9_AE75_45EC_B301_B583C3381734_.wvu.PrintArea" localSheetId="37" hidden="1">'Termijnen jaarrekening'!$A$6:$J$16</definedName>
    <definedName name="Z_33D191C9_AE75_45EC_B301_B583C3381734_.wvu.PrintArea" localSheetId="19" hidden="1">'Verbonden partijen'!$A$6:$J$10</definedName>
    <definedName name="Z_33D191C9_AE75_45EC_B301_B583C3381734_.wvu.PrintArea" localSheetId="7" hidden="1">Voorraden!$A$7:$J$108</definedName>
    <definedName name="Z_33D191C9_AE75_45EC_B301_B583C3381734_.wvu.PrintArea" localSheetId="13" hidden="1">Voorzieningen!$A$7:$J$183</definedName>
    <definedName name="Z_33D191C9_AE75_45EC_B301_B583C3381734_.wvu.PrintArea" localSheetId="8" hidden="1">'Vorderingen overl.activa'!$A$7:$J$54</definedName>
    <definedName name="Z_33D191C9_AE75_45EC_B301_B583C3381734_.wvu.PrintArea" localSheetId="16" hidden="1">'Winst- en verliesrek.'!$A$6:$J$167</definedName>
    <definedName name="Z_33D191C9_AE75_45EC_B301_B583C3381734_.wvu.PrintTitles" localSheetId="33" hidden="1">Accountantscontrole!$1:$5</definedName>
    <definedName name="Z_33D191C9_AE75_45EC_B301_B583C3381734_.wvu.PrintTitles" localSheetId="18" hidden="1">'Beëindiging bedr.activiteiten'!$1:$5</definedName>
    <definedName name="Z_33D191C9_AE75_45EC_B301_B583C3381734_.wvu.PrintTitles" localSheetId="17" hidden="1">'Belasting naar de winst'!$1:$5</definedName>
    <definedName name="Z_33D191C9_AE75_45EC_B301_B583C3381734_.wvu.PrintTitles" localSheetId="21" hidden="1">Bestuursverslag!$1:$5</definedName>
    <definedName name="Z_33D191C9_AE75_45EC_B301_B583C3381734_.wvu.PrintTitles" localSheetId="28" hidden="1">'Commerciële stichtingen en ver.'!$1:$5</definedName>
    <definedName name="Z_33D191C9_AE75_45EC_B301_B583C3381734_.wvu.PrintTitles" localSheetId="30" hidden="1">Concernverhoudingen!$1:$5</definedName>
    <definedName name="Z_33D191C9_AE75_45EC_B301_B583C3381734_.wvu.PrintTitles" localSheetId="9" hidden="1">Effecten!$1:$5</definedName>
    <definedName name="Z_33D191C9_AE75_45EC_B301_B583C3381734_.wvu.PrintTitles" localSheetId="12" hidden="1">'Eigen vermogen'!$1:$5</definedName>
    <definedName name="Z_33D191C9_AE75_45EC_B301_B583C3381734_.wvu.PrintTitles" localSheetId="27" hidden="1">'Ent zonder rechtspersoonlijkh'!$1:$5</definedName>
    <definedName name="Z_33D191C9_AE75_45EC_B301_B583C3381734_.wvu.PrintTitles" localSheetId="34" hidden="1">'Financ. anal en kengetallen'!$1:$5</definedName>
    <definedName name="Z_33D191C9_AE75_45EC_B301_B583C3381734_.wvu.PrintTitles" localSheetId="31" hidden="1">'Financiële instrumenten'!$1:$5</definedName>
    <definedName name="Z_33D191C9_AE75_45EC_B301_B583C3381734_.wvu.PrintTitles" localSheetId="6" hidden="1">'Financiële vaste activa'!$1:$5</definedName>
    <definedName name="Z_33D191C9_AE75_45EC_B301_B583C3381734_.wvu.PrintTitles" localSheetId="23" hidden="1">'Gebeurtenissen na balansdatum'!$1:$5</definedName>
    <definedName name="Z_33D191C9_AE75_45EC_B301_B583C3381734_.wvu.PrintTitles" localSheetId="3" hidden="1">'Grondslagen en uitgangspunten'!$1:$5</definedName>
    <definedName name="Z_33D191C9_AE75_45EC_B301_B583C3381734_.wvu.PrintTitles" localSheetId="25" hidden="1">'Grote rechtspersonen'!$1:$5</definedName>
    <definedName name="Z_33D191C9_AE75_45EC_B301_B583C3381734_.wvu.PrintTitles" localSheetId="4" hidden="1">'Immateriële vaste activa'!$1:$5</definedName>
    <definedName name="Z_33D191C9_AE75_45EC_B301_B583C3381734_.wvu.PrintTitles" localSheetId="20" hidden="1">Kasstroomoverzicht!$1:$5</definedName>
    <definedName name="Z_33D191C9_AE75_45EC_B301_B583C3381734_.wvu.PrintTitles" localSheetId="10" hidden="1">'Liquide middelen'!$1:$5</definedName>
    <definedName name="Z_33D191C9_AE75_45EC_B301_B583C3381734_.wvu.PrintTitles" localSheetId="5" hidden="1">'Materiële vaste activa'!$1:$4</definedName>
    <definedName name="Z_33D191C9_AE75_45EC_B301_B583C3381734_.wvu.PrintTitles" localSheetId="26" hidden="1">Microrechtspersonen!$1:$5</definedName>
    <definedName name="Z_33D191C9_AE75_45EC_B301_B583C3381734_.wvu.PrintTitles" localSheetId="11" hidden="1">'Niet in de balans opgen activa'!$1:$5</definedName>
    <definedName name="Z_33D191C9_AE75_45EC_B301_B583C3381734_.wvu.PrintTitles" localSheetId="15" hidden="1">'Niet in de balans opgen verpl.'!$1:$5</definedName>
    <definedName name="Z_33D191C9_AE75_45EC_B301_B583C3381734_.wvu.PrintTitles" localSheetId="29" hidden="1">'Org. zonder winststreven'!$1:$5</definedName>
    <definedName name="Z_33D191C9_AE75_45EC_B301_B583C3381734_.wvu.PrintTitles" localSheetId="22" hidden="1">'Overige gegevens'!$1:$5</definedName>
    <definedName name="Z_33D191C9_AE75_45EC_B301_B583C3381734_.wvu.PrintTitles" localSheetId="24" hidden="1">'Overige toelichtingen'!$1:$5</definedName>
    <definedName name="Z_33D191C9_AE75_45EC_B301_B583C3381734_.wvu.PrintTitles" localSheetId="36" hidden="1">'Samengestelde transacties'!$1:$5</definedName>
    <definedName name="Z_33D191C9_AE75_45EC_B301_B583C3381734_.wvu.PrintTitles" localSheetId="14" hidden="1">'Schulden lange korte termijn'!$1:$5</definedName>
    <definedName name="Z_33D191C9_AE75_45EC_B301_B583C3381734_.wvu.PrintTitles" localSheetId="35" hidden="1">Segmentatie!$1:$5</definedName>
    <definedName name="Z_33D191C9_AE75_45EC_B301_B583C3381734_.wvu.PrintTitles" localSheetId="37" hidden="1">'Termijnen jaarrekening'!$1:$5</definedName>
    <definedName name="Z_33D191C9_AE75_45EC_B301_B583C3381734_.wvu.PrintTitles" localSheetId="19" hidden="1">'Verbonden partijen'!$1:$5</definedName>
    <definedName name="Z_33D191C9_AE75_45EC_B301_B583C3381734_.wvu.PrintTitles" localSheetId="7" hidden="1">Voorraden!$1:$5</definedName>
    <definedName name="Z_33D191C9_AE75_45EC_B301_B583C3381734_.wvu.PrintTitles" localSheetId="13" hidden="1">Voorzieningen!$1:$5</definedName>
    <definedName name="Z_33D191C9_AE75_45EC_B301_B583C3381734_.wvu.PrintTitles" localSheetId="8" hidden="1">'Vorderingen overl.activa'!$1:$5</definedName>
    <definedName name="Z_33D191C9_AE75_45EC_B301_B583C3381734_.wvu.PrintTitles" localSheetId="16" hidden="1">'Winst- en verliesrek.'!$1:$5</definedName>
    <definedName name="Z_33D191C9_AE75_45EC_B301_B583C3381734_.wvu.Rows" localSheetId="2" hidden="1">Klantgegevens!$57:$72</definedName>
  </definedNames>
  <calcPr calcId="191029"/>
  <customWorkbookViews>
    <customWorkbookView name="Trudy van Mourik | SRA - Persoonlijke weergave" guid="{33D191C9-AE75-45EC-B301-B583C3381734}" mergeInterval="0" personalView="1" maximized="1" xWindow="-8" yWindow="-8" windowWidth="1936" windowHeight="1056" tabRatio="926"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38" l="1"/>
  <c r="B4" i="37"/>
  <c r="B4" i="36"/>
  <c r="B4" i="35"/>
  <c r="B4" i="34"/>
  <c r="B4" i="33"/>
  <c r="B4" i="32"/>
  <c r="B4" i="31"/>
  <c r="B4" i="30"/>
  <c r="B4" i="29"/>
  <c r="B4" i="28"/>
  <c r="B4" i="27"/>
  <c r="B4" i="26"/>
  <c r="B4" i="25"/>
  <c r="B4" i="24"/>
  <c r="B4" i="23"/>
  <c r="B4" i="22"/>
  <c r="B4" i="21"/>
  <c r="B4" i="20"/>
  <c r="B4" i="19"/>
  <c r="B4" i="18"/>
  <c r="B4" i="17"/>
  <c r="B4" i="16"/>
  <c r="B4" i="15"/>
  <c r="B4" i="14"/>
  <c r="B4" i="13"/>
  <c r="B4" i="12"/>
  <c r="B4" i="11"/>
  <c r="B4" i="10"/>
  <c r="B4" i="9"/>
  <c r="B4" i="8"/>
  <c r="B4" i="7"/>
  <c r="B4" i="6"/>
  <c r="B4" i="5"/>
  <c r="B4" i="4"/>
  <c r="B8" i="3"/>
</calcChain>
</file>

<file path=xl/sharedStrings.xml><?xml version="1.0" encoding="utf-8"?>
<sst xmlns="http://schemas.openxmlformats.org/spreadsheetml/2006/main" count="10558" uniqueCount="2990">
  <si>
    <t>- andere niet-controlediensten.</t>
  </si>
  <si>
    <t>- grootte en samenstelling van het vermogen.</t>
  </si>
  <si>
    <t>- overige baten.</t>
  </si>
  <si>
    <t>- overige lasten.</t>
  </si>
  <si>
    <t>c. het gemiddeld aantal werknemers is minder dan 50.</t>
  </si>
  <si>
    <t>- vermelding van de cumulatieve voorziening voor oninbaarheid die in mindering is gebracht op de minimale leasebetalingen.</t>
  </si>
  <si>
    <t xml:space="preserve">Afhankelijk van hun aard maken buitengewone posten in de winst en verliesrekening deel uit van de kasstroom uit operationele activiteiten investeringsactiviteiten of financieringsactiviteiten. </t>
  </si>
  <si>
    <t xml:space="preserve">De onder de vaste activa geactiveerde rente wordt opgenomen onder kasstromen uit investeringsactiviteiten. </t>
  </si>
  <si>
    <t>Betaalde dividenden worden bij voorkeur opgenomen onder de kasstromen uit financieringsactiviteiten.</t>
  </si>
  <si>
    <t xml:space="preserve">Winstbelastingen worden opgenomen onder de operationele activiteiten behalve voor zover deze toegerekend kunnen worden aan investerings- en financieringsactiviteiten. </t>
  </si>
  <si>
    <t>RJ 121.804 
RJ 121.805</t>
  </si>
  <si>
    <t>RJ 290.943</t>
  </si>
  <si>
    <t>- diverse aanvullende gegevens met betrekking tot financiële instrumenten (voor middelgrote rechtspersonen aanbevolen).</t>
  </si>
  <si>
    <t>RJ 290.947</t>
  </si>
  <si>
    <t>RJ 305</t>
  </si>
  <si>
    <t>Pensioenvoorzieningen</t>
  </si>
  <si>
    <t>RJ 271.324</t>
  </si>
  <si>
    <t>Een negatieve waarde van een deelneming zal door afwaardering van aanwezige vorderingen tot uitdrukking worden gebracht. Indien of voor zover dat niet mogelijk is, zal voor de (feitelijke) verplichting een voorziening worden genomen.</t>
  </si>
  <si>
    <t>Agio en disagio wordt verdeeld over de komende looptijd.</t>
  </si>
  <si>
    <t xml:space="preserve">De te deponeren jaarrekening is gelijk aan de jaarrekening volgens de inrichtingsvoorschriften. </t>
  </si>
  <si>
    <t>RJ 300.104</t>
  </si>
  <si>
    <t>BW 2:361,4</t>
  </si>
  <si>
    <t>Voor elke categorie wordt een verloopoverzicht gegeven:</t>
  </si>
  <si>
    <t>BW 2:368</t>
  </si>
  <si>
    <t>TOEPASSELIJKHEID VAN HET REGIME</t>
  </si>
  <si>
    <t>- actuele waarde.</t>
  </si>
  <si>
    <t>Kengetallen</t>
  </si>
  <si>
    <t>Mogelijke indeling van Kengetallen:</t>
  </si>
  <si>
    <t>Solvabiliteit:</t>
  </si>
  <si>
    <t>RJ 226.203</t>
  </si>
  <si>
    <t>RJ 226.206</t>
  </si>
  <si>
    <t>BW 2:379,1</t>
  </si>
  <si>
    <t>BW 2:379,3</t>
  </si>
  <si>
    <t>BW 2:414</t>
  </si>
  <si>
    <t>RJ 360.219</t>
  </si>
  <si>
    <t>RJ 360.301</t>
  </si>
  <si>
    <t>RJ 360.302</t>
  </si>
  <si>
    <t xml:space="preserve">Belangrijke afwijkingen tussen mutaties in balansposten en de kasstromen worden nader toegelicht.  </t>
  </si>
  <si>
    <t>Aanbevolen wordt om het aan belangen van derden toerekenbare bedrag van de hoeveelheid geldmiddelen op balansdatum en van de kasstromen uit operationele investerings- en financieringsactiviteiten in het boekjaar afzonderlijk te vermelden.</t>
  </si>
  <si>
    <t>RJ 360.303</t>
  </si>
  <si>
    <t>RJ 360.305</t>
  </si>
  <si>
    <t>Samengestelde transacties</t>
  </si>
  <si>
    <t>Daaronder vallen ook betalingen in eigen aandelen.</t>
  </si>
  <si>
    <t>De netto omzetstijging of -daling ten opzichte van het vorig jaar wordt in een verhoudingscijfer vermeld.</t>
  </si>
  <si>
    <t>De overige posten van de winst- en-verliesrekening die voor beide indelingen gelden zijn hieronder opgenomen.</t>
  </si>
  <si>
    <t>RJ 210.224</t>
  </si>
  <si>
    <t>RJk B1 105</t>
  </si>
  <si>
    <t>Zie algemene regels.</t>
  </si>
  <si>
    <t>Afschrijving maximaal 20 jaar, tenzij langere levensduur wordt aangetoond.</t>
  </si>
  <si>
    <t>RJ 210.216</t>
  </si>
  <si>
    <t>Intern gegenereerde goodwill mag niet geactiveerd worden.</t>
  </si>
  <si>
    <t>Goodwill mag ten hoogste tegen de gedane uitgaven gewaardeerd worden.</t>
  </si>
  <si>
    <t>Materiële vaste activa</t>
  </si>
  <si>
    <t>Materiële vaste activa zijn bestemd om duurzaam in de bedrijfsuitoefening te worden gebruikt.</t>
  </si>
  <si>
    <t>Controle</t>
  </si>
  <si>
    <t>RJ 270.110</t>
  </si>
  <si>
    <t>Het is ook toegestaan om voorraden grond- en hulpstoffen die jaarlijks nagenoeg gelijk blijven en van ondergeschikte betekenis zijn, voor een vast bedrag op te nemen.</t>
  </si>
  <si>
    <t>Het nemen van boekwinst is niet toegestaan, als daartegenover extra lasten in de toekomst staan.</t>
  </si>
  <si>
    <t>Bij op aandelen gebaseerde betalingen moeten de prestaties worden gewaardeerd op de reële waarde. Indien deze niet beschikbaar is moet worden gewaardeerd naar de waarde van de toegekende aandelen.</t>
  </si>
  <si>
    <t>Ingeval de tegenpartij betaling in geld kan eisen, wordt op de reële waarde gewaardeerd. Dat zal veelal het geldbedrag zijn.</t>
  </si>
  <si>
    <t>RJ 275.101</t>
  </si>
  <si>
    <t>RJ 190.404</t>
  </si>
  <si>
    <t>RJ 190.408</t>
  </si>
  <si>
    <t>RJ 275.203</t>
  </si>
  <si>
    <t>VERMELDING</t>
  </si>
  <si>
    <t>Bij verlenging van de afschrijvingsduur wordt de jaarlijkse afschrijving verlaagd.</t>
  </si>
  <si>
    <t>Overlopende passiva</t>
  </si>
  <si>
    <t>Dit kunnen zijn:</t>
  </si>
  <si>
    <t>RJ 258.102</t>
  </si>
  <si>
    <t>Meerjarige financiële verplichtingen (voorbeelden):</t>
  </si>
  <si>
    <t>BW 2:381,1</t>
  </si>
  <si>
    <t>Afzonderlijk moeten worden vermeld:</t>
  </si>
  <si>
    <t xml:space="preserve">Indien effecten niet ter vrije beschikking staan, moet dat worden vermeld. </t>
  </si>
  <si>
    <t>BW 2:371,2</t>
  </si>
  <si>
    <t>De waarderingsgrondslagen moeten worden vermeld.</t>
  </si>
  <si>
    <t>Liquide middelen</t>
  </si>
  <si>
    <t xml:space="preserve">OPNAME </t>
  </si>
  <si>
    <t>Hieronder worden opgenomen:</t>
  </si>
  <si>
    <t xml:space="preserve">De waardering is op nominale waarde. </t>
  </si>
  <si>
    <t>RJ 228.201</t>
  </si>
  <si>
    <t>Liquide middelen in vreemde valuta worden omgerekend tegen de balanskoers.</t>
  </si>
  <si>
    <t>i +d</t>
  </si>
  <si>
    <t>Lonen en salarissen</t>
  </si>
  <si>
    <t xml:space="preserve">Het totaal van lonen en salarissen moet worden vermeld. </t>
  </si>
  <si>
    <t>Klantnummer</t>
  </si>
  <si>
    <t>Klantgegevens</t>
  </si>
  <si>
    <t>Naam klant</t>
  </si>
  <si>
    <t>Boekjaar</t>
  </si>
  <si>
    <t>Verantwoordelijk accountant</t>
  </si>
  <si>
    <t>BV</t>
  </si>
  <si>
    <t>RJ 221.212</t>
  </si>
  <si>
    <t>De wijze van verwerking kan zijn:</t>
  </si>
  <si>
    <t>RJ 221.314</t>
  </si>
  <si>
    <t>RJ 221.323</t>
  </si>
  <si>
    <t>RJ 221.404</t>
  </si>
  <si>
    <t>Waardering op historische kostprijs</t>
  </si>
  <si>
    <t>BW 2:388,2</t>
  </si>
  <si>
    <t>- aan derden betaalde rente (mits vermeld).</t>
  </si>
  <si>
    <t>Bij sloop van een gebouw gevolgd door nieuwbouw zijn de sloopkosten onderdeel van de kostprijs.</t>
  </si>
  <si>
    <t>RJ 212.511</t>
  </si>
  <si>
    <t>Niet tot de kostprijs behoren:</t>
  </si>
  <si>
    <t>BW 2:376</t>
  </si>
  <si>
    <t>Het onderscheid in groepsmaatschappijen, dochtermaatschappijen en deelnemingen is voor de regelgeving van belang.</t>
  </si>
  <si>
    <t>BW 2:24b</t>
  </si>
  <si>
    <t>BW 2:24a</t>
  </si>
  <si>
    <t>BW 2:24c</t>
  </si>
  <si>
    <t xml:space="preserve">Indien kapitaalbelangen daaraan niet voldoen zijn dat overige effecten. </t>
  </si>
  <si>
    <t>BW 2:389,2</t>
  </si>
  <si>
    <t>BW 2:389,3</t>
  </si>
  <si>
    <t>Bij voorkeur is dat het zichtbaar eigen vermogen. Ook waardering op kostprijs is in die gevallen toegestaan.</t>
  </si>
  <si>
    <t>RJ 214.310</t>
  </si>
  <si>
    <t>Het aandeel in het resultaat of het ontvangen dividend wordt verwerkt in de resultatenrekening.</t>
  </si>
  <si>
    <t>RJ 214.315</t>
  </si>
  <si>
    <t>Voor het aandeel in het resultaat en vermogensmutaties wordt een wettelijke reserve gevormd, tenzij de uitkeringen zonder beperking in Nederland zouden kunnen worden ontvangen</t>
  </si>
  <si>
    <t>BW 2.389,6</t>
  </si>
  <si>
    <t>RJ 270.504</t>
  </si>
  <si>
    <t>OVERIGE BEPALINGEN</t>
  </si>
  <si>
    <t>Een dynamische voorziening zal door de fiscus aan een plafond worden gebonden. De ervaringspercentages dienen met feitelijke waarnemingen te worden onderbouwd.</t>
  </si>
  <si>
    <t>Voorziening Groot Onderhoud</t>
  </si>
  <si>
    <t>BELASTINGEN NAAR DE WINST</t>
  </si>
  <si>
    <t>Projectontwikkeling mag hieronder worden behandeld, mits er een onherroepelijke verkoopovereenkomst is.</t>
  </si>
  <si>
    <t>RJ 221.302</t>
  </si>
  <si>
    <t>RJ 221.409</t>
  </si>
  <si>
    <t>Bij (stille) verpanding blijft de eigendom bij de rechtspersoon en blijft deze vordering op de balans gehandhaafd. Een eventueel regresrecht ingeval van niet betaling moet worden vermeld.</t>
  </si>
  <si>
    <t>RJ 275.314</t>
  </si>
  <si>
    <t>RJ 275.403</t>
  </si>
  <si>
    <t>Bijzondere posten</t>
  </si>
  <si>
    <t>Belastingen naar de winst</t>
  </si>
  <si>
    <t>c. positief en/of negatief restwaarderisico ten aanzien van het lease-object loopt. De leaseregeling geeft een nadere omschrijving van een positief en/of negatief restwaarderisico.</t>
  </si>
  <si>
    <t>f. overige vorderingen.</t>
  </si>
  <si>
    <t>- verstrekte leningen en overige vorderingen</t>
  </si>
  <si>
    <t>- financiële activa in een handelsportefeuille</t>
  </si>
  <si>
    <t>- financiële activa waarvan de waarde niet betrouwbaar kan worden vastgesteld.</t>
  </si>
  <si>
    <t>- behorende tot de handelsportefeuille</t>
  </si>
  <si>
    <t>- overige effecten</t>
  </si>
  <si>
    <t>a. het onvoldoende zeker is dat de baten zullen worden ontvangen;</t>
  </si>
  <si>
    <t>c. het niet-afgewikkelde overeenkomsten betreft.</t>
  </si>
  <si>
    <t>BW 2:381,3</t>
  </si>
  <si>
    <t>RJ 394</t>
  </si>
  <si>
    <t>RJ 340.204</t>
  </si>
  <si>
    <t>RJ 340.211</t>
  </si>
  <si>
    <t>RJ 340.501</t>
  </si>
  <si>
    <t>Accountantscontrole</t>
  </si>
  <si>
    <t>Opname vindt alleen plaats in de geconsolideerde jaarrekening. Specificatie vindt plaats in de enkelvoudige jaarrekening.</t>
  </si>
  <si>
    <t>a</t>
  </si>
  <si>
    <t>f</t>
  </si>
  <si>
    <t>In alle waarderingsstelsels moet met bijzondere waardevermindering rekening worden gehouden (impairment, lagere bedrijfswaarde).</t>
  </si>
  <si>
    <t>Voor grote rechtspersonen is het verplicht om onderscheid te maken tussen gekochte en zelf gegenereerde immateriële vaste activa.</t>
  </si>
  <si>
    <t>Het hoofd van een subgroep heeft in principe ook consolidatieplicht Er is echter een vrijstelling van toepassing, waardoor kan worden voorkomen dat er een gestapelde consolidatie moet plaatsvinden.</t>
  </si>
  <si>
    <t>BW 2:408,1</t>
  </si>
  <si>
    <t>Waardering tegen actuele waarde is met toegestaan voor tot de vervaldag aan te houden reële activa, leningen en vorderingen.</t>
  </si>
  <si>
    <t>BAW art. 10,3</t>
  </si>
  <si>
    <t>RJ 273.201</t>
  </si>
  <si>
    <t>RJ 190.207</t>
  </si>
  <si>
    <t>BW 2:383,2</t>
  </si>
  <si>
    <t>Voorraden</t>
  </si>
  <si>
    <t>Opname vindt plaats als de economische voordelen waarschijnlijk aan de rechtspersoon zullen toekomen en de kosten betrouwbaar kunnen worden vastgesteld.</t>
  </si>
  <si>
    <t>- verschil in grondslagen geconsolideerde en enkelvoudige jaarrekening.</t>
  </si>
  <si>
    <t>- dividend.</t>
  </si>
  <si>
    <t>- herwaarderingsreserve.</t>
  </si>
  <si>
    <t>- in welke mate langlopend.</t>
  </si>
  <si>
    <t>1. bedrijfstakpensioenfonds (veelal verplicht);</t>
  </si>
  <si>
    <t>2. ondernemingspensioenfonds (afgescheiden van werkgever);</t>
  </si>
  <si>
    <t xml:space="preserve">3. levensverzekeringsmaatschappij. </t>
  </si>
  <si>
    <t xml:space="preserve">Als alternatief is het ook toegestaan om te waarderen op kostprijs of lagere marktwaarde. Dan wordt bij een latere prijsstijging de afwaardering weer teruggenomen tot maximaal het niveau van de kostprijs       </t>
  </si>
  <si>
    <t>Per categorie afgeleide financiële instrumenten worden vermeld de omvang en aard van de financiële instrumenten alsmede de voorwaarden die op de toekomstige kasstromen van invloed kunnen zijn.</t>
  </si>
  <si>
    <t>RJ 290.634</t>
  </si>
  <si>
    <t>Van toepassing op rechtspersonen die de winst per aandeel in de jaarrekening vermelden.</t>
  </si>
  <si>
    <t>RJ 340.101</t>
  </si>
  <si>
    <t>- geografische gebieden.</t>
  </si>
  <si>
    <t>De accountant maakt daarin ten minste melding van zijn bevindingen m.b.t. de betrouwbaarheid en continuïteit van de geautomatiseerde gegevensverwerking.</t>
  </si>
  <si>
    <t xml:space="preserve">- hoofdlijnen van een eventueel herstelplan van het fonds. </t>
  </si>
  <si>
    <t>- gehanteerde rentevoet.</t>
  </si>
  <si>
    <t xml:space="preserve">- voorziening vormen. </t>
  </si>
  <si>
    <t>- voorziening en actiefpost voor het volle verwachte bedrag en afschrijven op het actief.</t>
  </si>
  <si>
    <t>Er zijn vier modellen voor hedge accounting:</t>
  </si>
  <si>
    <t>RJ 290.202</t>
  </si>
  <si>
    <t>RJ 290.701</t>
  </si>
  <si>
    <t>RJ 290.501</t>
  </si>
  <si>
    <t>RJ 290.532</t>
  </si>
  <si>
    <t>RJ 290.801</t>
  </si>
  <si>
    <t>RJ 290.802</t>
  </si>
  <si>
    <t>RJ 290.808</t>
  </si>
  <si>
    <t>RJ 290.837</t>
  </si>
  <si>
    <t>BW 2:381a</t>
  </si>
  <si>
    <t>BW 2:381b</t>
  </si>
  <si>
    <t>RJ 290.9</t>
  </si>
  <si>
    <t>RJ 290.918</t>
  </si>
  <si>
    <t>RJ 290.928</t>
  </si>
  <si>
    <t>RJ 290.602</t>
  </si>
  <si>
    <t>RJ 290.618</t>
  </si>
  <si>
    <t>RJ 290.913</t>
  </si>
  <si>
    <t>De volgende gegevens worden aan de jaarrekening toegevoegd:</t>
  </si>
  <si>
    <t>Grote rechtspersonen zijn in de toelichting bij de immateriële vaste activa niet vrijgesteld van het geven van het onderscheid tussen intern gegenereerde immateriële vaste activa en gekochte immateriële vaste activa.</t>
  </si>
  <si>
    <t>Deelnemingen en kapitaalbelangen</t>
  </si>
  <si>
    <t>Grondslagen voor de bepaling van het resultaat</t>
  </si>
  <si>
    <t>Categoriale indeling</t>
  </si>
  <si>
    <t>De post brutobedrijfsresultaat omvat de volgende posten</t>
  </si>
  <si>
    <t>Netto-omzet</t>
  </si>
  <si>
    <t>Grote rechtspersonen moeten de bepalingen van de winst per aandeel toepassen.</t>
  </si>
  <si>
    <t>RJ 221.206</t>
  </si>
  <si>
    <t>Verkoopkosten</t>
  </si>
  <si>
    <t>Lonen en salarissen, sociale lasten en pensioenlasten</t>
  </si>
  <si>
    <t>Indien de werkgever in rechte kan worden aangesproken voor een tekort, dan wel dat er een feitelijke verplichting bestaat om een extra bijdrage te betalen, wordt een voorziening gevormd.</t>
  </si>
  <si>
    <t>RJ 271.311</t>
  </si>
  <si>
    <t>BW 2:377,3</t>
  </si>
  <si>
    <t>Betekenis van de gebruikte afkortingen:</t>
  </si>
  <si>
    <t>Omvang (K;M of G)</t>
  </si>
  <si>
    <t>Rechtsvorm (BV,NV,EZ,PERSV)</t>
  </si>
  <si>
    <t>G</t>
  </si>
  <si>
    <t>NV</t>
  </si>
  <si>
    <t>EZ</t>
  </si>
  <si>
    <t>PERSVEN</t>
  </si>
  <si>
    <t>K</t>
  </si>
  <si>
    <t>M</t>
  </si>
  <si>
    <t>NVT</t>
  </si>
  <si>
    <t xml:space="preserve">FISCAAL </t>
  </si>
  <si>
    <t>Activiteitsratio’s</t>
  </si>
  <si>
    <t>RJ 273.302</t>
  </si>
  <si>
    <t>BW 2:377,5</t>
  </si>
  <si>
    <t>RJ 272.104</t>
  </si>
  <si>
    <t>RJ 272.801</t>
  </si>
  <si>
    <t>BW 2:381,2</t>
  </si>
  <si>
    <t>RJ 272.607</t>
  </si>
  <si>
    <t>RJ 272.703</t>
  </si>
  <si>
    <t>RJ 272</t>
  </si>
  <si>
    <t>RJ 272.706</t>
  </si>
  <si>
    <t>Ook voor kleine rechtspersonen wordt dat aanbevolen.</t>
  </si>
  <si>
    <t>RJ 345.101</t>
  </si>
  <si>
    <t>RJ  345.304</t>
  </si>
  <si>
    <t>RJ 270.405</t>
  </si>
  <si>
    <t>RJ 330.201</t>
  </si>
  <si>
    <t>BW 2:397,6</t>
  </si>
  <si>
    <t xml:space="preserve">Een kasstroomoverzicht is een overzicht van de geldmiddelen die in de verslagperiode beschikbaar zijn gekomen en van het gebruik dat van deze geldmiddelen is gemaakt Het kasstroomoverzicht is een onderdeel van de jaarrekening. </t>
  </si>
  <si>
    <t>Commerciële stichtingen en verenigingen</t>
  </si>
  <si>
    <t>c. overige financiële verplichtingen: geamortiseerde kostprijs.</t>
  </si>
  <si>
    <t>- overlopende passiva.</t>
  </si>
  <si>
    <t>- aflossing komend jaar op langlopende schulden.</t>
  </si>
  <si>
    <t>- afzonderlijke vermelding van aan bestuurders en commissarissen verstrekte garanties</t>
  </si>
  <si>
    <t>- vermelding van de bedragen van de ruiltransacties per genoemde categorie.</t>
  </si>
  <si>
    <t>- van materiële vaste activa.</t>
  </si>
  <si>
    <t>- verhouding verbonden partijen.</t>
  </si>
  <si>
    <t>Het model gaat dan verder met:</t>
  </si>
  <si>
    <t>- moeder rekent af op basis van de commerciële resultaten van de dochters.</t>
  </si>
  <si>
    <t>- de activiteit voor verslaggevingsdoeleinden kan worden onderscheiden.</t>
  </si>
  <si>
    <t>- grote rechtspersonen belastingen.</t>
  </si>
  <si>
    <t xml:space="preserve">- Financieringskasstromen kasstromen ter financiering van de operationele en investeringsactiviteiten. </t>
  </si>
  <si>
    <t>- Bij de indirecte methode wordt de operationele kasstroom bepaald door het bedrijfsresultaat aan te passen voor afschrijvingen mutaties in de voorzieningen en mutaties in het werkkapitaal.</t>
  </si>
  <si>
    <t>- ontvangsten uit hoofde van af te dragen omzetbelasting als ontvangsten, de uitgaven uit hoofde van terug te vorderen omzetbelasting als uitgaven en het af te dragen saldo als uitgaven</t>
  </si>
  <si>
    <t>- als saldopost onder de uitgaven.</t>
  </si>
  <si>
    <t>Overige bedrijfskosten</t>
  </si>
  <si>
    <t>De indeling daarvan is vrij.</t>
  </si>
  <si>
    <t>Functionele indeling</t>
  </si>
  <si>
    <t>De functionele opstelling is gebaseerd op de omzetmethode waarbij de netto-omzet gesteld wordt tegenover de naar functies gesplitste kosten.</t>
  </si>
  <si>
    <t>Herwaardering op actuele waarde kan zijn op:</t>
  </si>
  <si>
    <t>RJ 212.412</t>
  </si>
  <si>
    <t>BW 2:406,1</t>
  </si>
  <si>
    <t xml:space="preserve">In geval van een overname waarvan de betaalde goodwill fiscaal niet kan worden afgeschreven neemt de kopende rechtspersoon geen voorziening voor latente belasting op. </t>
  </si>
  <si>
    <t xml:space="preserve">Toelichting op het kasstroomoverzicht </t>
  </si>
  <si>
    <t>De reële waarde geeft de actuele situatie weer op balansdatum en niet op enige datum in verleden of toekomst.</t>
  </si>
  <si>
    <t>RJ 213.507</t>
  </si>
  <si>
    <t>RJ 213.803</t>
  </si>
  <si>
    <t>Rechtspersonen, die een beursintroductie voorbereiden (of reeds een notering hebben) moeten de bepalingen van de winst per aandeel toepassen. Dit behoeven niet altijd grote rechtspersonen te zijn.</t>
  </si>
  <si>
    <t>Winst- en verliesrekening</t>
  </si>
  <si>
    <t>c. overige sociale lasten.</t>
  </si>
  <si>
    <t>Hoofdstukken</t>
  </si>
  <si>
    <t>Paragrafen</t>
  </si>
  <si>
    <t>Beeindiging van bedrijfsactiviteiten</t>
  </si>
  <si>
    <t>Niet in de balans opgenomen verplichtingen</t>
  </si>
  <si>
    <t>Niet in de balans opgenomen activa</t>
  </si>
  <si>
    <t>Verbonden partijen</t>
  </si>
  <si>
    <t>Wanneer er transacties hebben plaatsgevonden met een verbonden partij die niet onder normale marktcondities zijn aangegaan moet de omvang daarvan worden vermeld.</t>
  </si>
  <si>
    <t>BW 2:377,2</t>
  </si>
  <si>
    <t>BW 2:384,1</t>
  </si>
  <si>
    <t>BW 2:384,2</t>
  </si>
  <si>
    <t>BW 2:380</t>
  </si>
  <si>
    <t>RJ 135.205</t>
  </si>
  <si>
    <t>RJ 270.201</t>
  </si>
  <si>
    <t>Betaalde pensioenpremie is de jaarlast.</t>
  </si>
  <si>
    <t>Uitsluitend indien de werkgever de beschikkingsmacht heeft over een overschot bij de pensioenuitvoerder kan een bate worden geactiveerd.</t>
  </si>
  <si>
    <t>RJ 271.308</t>
  </si>
  <si>
    <t>Toezeggingen aan personeel dienen te worden ondergebracht bij derden (Pensioenwet).</t>
  </si>
  <si>
    <t>Dit kan zijn:</t>
  </si>
  <si>
    <t>Consolidatieplicht</t>
  </si>
  <si>
    <t>Ook zustermaatschappijen met dezelfde privé-aandeelhouders kunnen onder de consolidatieplicht vallen.</t>
  </si>
  <si>
    <t>Er kunnen verplichtingen jegens personeel bestaan, bijvoorbeeld nog niet afgefinancierde backservice. Daarvoor wordt een voorziening opgenomen.</t>
  </si>
  <si>
    <t>Passieve latenties</t>
  </si>
  <si>
    <t>Opname</t>
  </si>
  <si>
    <t>Er zijn actieve en passieve latenties (bijvoorbeeld door carry forward verliescompensatie).</t>
  </si>
  <si>
    <t>De fiscale winst-en-verliesrekening kan afwijken van de commerciële winst-en-verliesrekening door het toepassen van andere waarderingsgrondslagen.</t>
  </si>
  <si>
    <t xml:space="preserve">Idem voor niet financiële prestatie-indicatoren. </t>
  </si>
  <si>
    <t>Nog niet afgewikkelde overeenkomsten worden niet als een voorziening verwerkt, tenzij deze een voorzienbaar verlies opleveren.</t>
  </si>
  <si>
    <t>RJ 220.204</t>
  </si>
  <si>
    <t>Voor toekomstige bedrijfsverliezen mag geen voorziening worden gevormd.</t>
  </si>
  <si>
    <t>Schatting van de mogelijke omvang van de verplichting kan meerdere uitkomsten geven. Aanbevolen wordt om dan de meest waarschijnlijke uitkomst te nemen, of een gemiddelde van deze schattingen.</t>
  </si>
  <si>
    <t>RJ 252.301</t>
  </si>
  <si>
    <t>RJ 252.306</t>
  </si>
  <si>
    <t>De disconteringsvoet is de actuele marktrente voor deze onderneming (vóór belastingen). De actuele rente betreft het rendement op staatsleningen.</t>
  </si>
  <si>
    <t>BW 2:374,3</t>
  </si>
  <si>
    <t>Vermelding:</t>
  </si>
  <si>
    <t>RJ 252.502</t>
  </si>
  <si>
    <t>De aanwending van voorzieningen wordt buiten de resultaten verwerkt door direct af te boeken op de voorziening.</t>
  </si>
  <si>
    <t>WAARDERING</t>
  </si>
  <si>
    <t>Transacties</t>
  </si>
  <si>
    <t>RJ 240.411</t>
  </si>
  <si>
    <t>RJ 240.232</t>
  </si>
  <si>
    <t>Er mag geen negatieve herwaarderingsreserve ontstaan.</t>
  </si>
  <si>
    <t>Reserve deelneming</t>
  </si>
  <si>
    <t>In de reserve deelneming wordt alleen het aandeel in de winst (verlies) van de deelneming opgenomen na eerste waardering.</t>
  </si>
  <si>
    <t>Ingeval waardering van de deelneming plaatsvindt op netto-vermogenswaarde en indien niet beschikt kan worden over dividenden is dit een wettelijke reserve. In de wettelijke reserve wordt het aandeel van de winst opgenomen na eerste waardering op netto-vermogenswaarde.</t>
  </si>
  <si>
    <t>RJ 240.228</t>
  </si>
  <si>
    <t>De reserve wordt individueel bepaald (per deelneming). Voor overige presentatievereisten zie boven.</t>
  </si>
  <si>
    <t>De reserve deelneming is fiscaal niet aan de orde.</t>
  </si>
  <si>
    <t>Andere reserves</t>
  </si>
  <si>
    <t>RJ 275.205</t>
  </si>
  <si>
    <t>RJ 275.505</t>
  </si>
  <si>
    <t>Een financieel instrument is een overeenkomst, die leidt tot een financieel actief bij een partij en een financiële verplichting of een eigen vermogensinstrument bij een andere partij.</t>
  </si>
  <si>
    <t xml:space="preserve">Financiële instrumenten kunnen zijn: </t>
  </si>
  <si>
    <t>Lasten</t>
  </si>
  <si>
    <t>Grote rechtspersonen zijn niet vrijgesteld van de volgende toelichtingsvereisten:</t>
  </si>
  <si>
    <t>RJ 292.311a</t>
  </si>
  <si>
    <t>RJ 292.311d</t>
  </si>
  <si>
    <t>Ook fiscaal is het onderscheid tussen financiële en operationele lease van belang.</t>
  </si>
  <si>
    <t>Vastgoedbeleggingen</t>
  </si>
  <si>
    <t>Onder de voorraden worden afzonderlijk opgenomen:</t>
  </si>
  <si>
    <t>Toegestaan zijn:</t>
  </si>
  <si>
    <t>RJ 212.413</t>
  </si>
  <si>
    <t>De afschrijvingen worden berekend over het geherwaardeerde bedrag.</t>
  </si>
  <si>
    <t>Voor zover het begrip geldmiddelen afwijkt van het begrip liquide middelen in de balans wordt een cijfermatige aansluiting gemaakt.</t>
  </si>
  <si>
    <t>RJ 360.101</t>
  </si>
  <si>
    <t>RJ 360.104</t>
  </si>
  <si>
    <t>RJ 360.209</t>
  </si>
  <si>
    <t>RJ 360.217</t>
  </si>
  <si>
    <t>RJ 360.220</t>
  </si>
  <si>
    <t>RJ 360.211</t>
  </si>
  <si>
    <t>RJ 360.212</t>
  </si>
  <si>
    <t>RJ 360.203</t>
  </si>
  <si>
    <t>RJ 360.206</t>
  </si>
  <si>
    <t>RJ 360.207</t>
  </si>
  <si>
    <t>RJ 360.208</t>
  </si>
  <si>
    <t>RJ 360.213</t>
  </si>
  <si>
    <t>RJ 360.218</t>
  </si>
  <si>
    <t>RJ 360.214</t>
  </si>
  <si>
    <t>RJ 360.215</t>
  </si>
  <si>
    <t>RJ 360.216</t>
  </si>
  <si>
    <t>RJ 215.203</t>
  </si>
  <si>
    <t>BW 2:409</t>
  </si>
  <si>
    <t>BW 2:410,3</t>
  </si>
  <si>
    <t>RJ 216.301</t>
  </si>
  <si>
    <t>RJ 122.302 en 307</t>
  </si>
  <si>
    <t>RJ 217.402</t>
  </si>
  <si>
    <t>BW 2:410,1</t>
  </si>
  <si>
    <t>BW 2:410,2</t>
  </si>
  <si>
    <t>BW 2:410,4</t>
  </si>
  <si>
    <t>BW 2:410,5</t>
  </si>
  <si>
    <t>BW 2:411,1</t>
  </si>
  <si>
    <t>BW 2:402</t>
  </si>
  <si>
    <t>BW 2:407,3</t>
  </si>
  <si>
    <t>BW 2:407,1a</t>
  </si>
  <si>
    <t>BW 2:407,1b</t>
  </si>
  <si>
    <t>BW 2:407,1c</t>
  </si>
  <si>
    <t>Financiële analyses en kengetallen</t>
  </si>
  <si>
    <t>RJ 212.304</t>
  </si>
  <si>
    <t>RJ 212.305</t>
  </si>
  <si>
    <t xml:space="preserve">Totaal van de post </t>
  </si>
  <si>
    <t>De post moet worden uitgesplitst in categorieën:</t>
  </si>
  <si>
    <t>BW 2:366</t>
  </si>
  <si>
    <t>Bij verkorting van de gebruiksduur wordt de jaarlijkse afschrijving verhoogd.</t>
  </si>
  <si>
    <t xml:space="preserve">RJ 212.434 </t>
  </si>
  <si>
    <t>Stijging van de restwaarde tot de boekwaarde leidt ertoe dat de afschrijvingen nihil worden.</t>
  </si>
  <si>
    <t>Op beleggingen in verhuurde onroerende zaken wordt niet afgeschreven. Deze worden gewaardeerd op actuele waarde (zie Vastgoedbeleggingen).</t>
  </si>
  <si>
    <t>De positieve herwaardering wordt aan de wettelijke reserve herwaardering toegevoegd voor zover deze niet als latente belastingen (moet) worden verwerkt.</t>
  </si>
  <si>
    <t>Een negatieve herwaardering wordt van de nog aanwezige herwaarderingsreserve van datzelfde actief afgetrokken en het restant wordt ten laste van de resultaten van dat jaar genomen.</t>
  </si>
  <si>
    <t>De historische kostprijs (waaronder begrepen de vervaardigingsprijs) bevat kosten van grond en hulpstoffen en directe kosten.</t>
  </si>
  <si>
    <t>- kosten die samenhangen met het gebruik, zoals aanloopverliezen en kosten van verhuizing;</t>
  </si>
  <si>
    <t>- activa in uitvoering en investeringsverplichtingen (onder de niet in de balans opgenomen activa en passiva).</t>
  </si>
  <si>
    <t>Indien een lease zowel grond als gebouwen omvat dient de classificatie van deze onderdelen afzonderlijk plaats te vinden.</t>
  </si>
  <si>
    <t>RJ 292.124</t>
  </si>
  <si>
    <t>Voorschriften grote, middelgrote en kleine ondernemingen</t>
  </si>
  <si>
    <t>Andere specifieke bepalingen voor de geconsolideerde jaarrekening zijn:</t>
  </si>
  <si>
    <t xml:space="preserve">- tussenconsolidatie vrijstelling; </t>
  </si>
  <si>
    <t>EIGEN VERMOGEN</t>
  </si>
  <si>
    <t>BW 2:360,3</t>
  </si>
  <si>
    <t>BW 2:398,5</t>
  </si>
  <si>
    <t>BW 2:393,1</t>
  </si>
  <si>
    <t>BW 2:393,2</t>
  </si>
  <si>
    <t>BW 2:393,8</t>
  </si>
  <si>
    <t>BW 2:393,3</t>
  </si>
  <si>
    <t>BW 2:408</t>
  </si>
  <si>
    <t>BW 2:393,4</t>
  </si>
  <si>
    <t>Opname van het gemiddelde aantal gedurende het boekjaar bij de rechtspersoon werkzame werknemers wordt gezien als gesegmenteerde informatie.</t>
  </si>
  <si>
    <t>Verdergaande segmentatie van informatie wordt aanbevolen voor grote rechtspersonen.</t>
  </si>
  <si>
    <t>Met behulp van cijfers inzicht geven in de mate waarin verschillende soorten werkzaamheden aan de netto-omzet bijdragen verdeeld in:</t>
  </si>
  <si>
    <t>BW 2:382 BW 2:410,5</t>
  </si>
  <si>
    <t>BW 2:393,5</t>
  </si>
  <si>
    <t>BW 2:393,7</t>
  </si>
  <si>
    <t>BW 2:382a</t>
  </si>
  <si>
    <t>BW 2:396,5</t>
  </si>
  <si>
    <t>Geconsolideerd worden de rechtspersoon zelf, dochtermaatschappijen die tot de groep behoren andere groepsmaatschappijen en rechtspersonen waarop hij een overheersende zeggenschap kan uitoefenen of waarover hij de centrale leiding heeft.</t>
  </si>
  <si>
    <t>Gestelde zekerheden</t>
  </si>
  <si>
    <t>Bedrag en aard van de lang- en kortlopende schulden die zijn achtergesteld.</t>
  </si>
  <si>
    <t xml:space="preserve">Volledige conversievoorwaarden converteerbare leningen. </t>
  </si>
  <si>
    <t>RJ 240.218</t>
  </si>
  <si>
    <t>Verliezen van deelnemingen die ten laste van de resultaten zijn gekomen, mogen worden ingehaald, voordat de winst aan de wettelijke reserve moet worden toegevoegd.</t>
  </si>
  <si>
    <t>Bijzondere waardeverminderingen</t>
  </si>
  <si>
    <t>Bij de waardering van vaste activa wordt rekening gehouden met een vermindering van hun waarde, indien deze naar verwachting duurzaam is.</t>
  </si>
  <si>
    <t>VERWERKING</t>
  </si>
  <si>
    <t>De bijzondere waardeverminderingen worden:</t>
  </si>
  <si>
    <t xml:space="preserve">Slechts wegens gegronde redenen mogen de waardering van activa en passiva en de bepaling van het resultaat geschieden op een andere grondslag dan het vorige boekjaar. </t>
  </si>
  <si>
    <t>Behalve voor de waardering geldt dat ook voor de indeling van posten.</t>
  </si>
  <si>
    <t>De gevolgen van een schattingswijziging worden in het gewone resultaat van het boekjaar opgenomen.</t>
  </si>
  <si>
    <t>Werkkapitaal = het saldo van vlottende activa en vlottende schulden.</t>
  </si>
  <si>
    <t xml:space="preserve">Werkzaam vermogen = de som van het eigen vermogen, voorzieningen, langlopende schulden en de rentedragende kortlopende schulden. </t>
  </si>
  <si>
    <t>Groepsvermogen</t>
  </si>
  <si>
    <t>BW 2:411,2</t>
  </si>
  <si>
    <t>BW 2:389,10</t>
  </si>
  <si>
    <t xml:space="preserve">Overzicht van totaalresultaat opnemen in de geconsolideerde jaarrekening bestaande uit: </t>
  </si>
  <si>
    <t>RJ 265.201</t>
  </si>
  <si>
    <t xml:space="preserve">Samengestelde transacties waarbij geen ruil van geldmiddelen plaatsvindt worden niet naar hun samenstellende bestanddelen in het overzicht opgenomen, maar hiervan worden de aard en de samenstellende bestanddelen in de toelichting vermeld. </t>
  </si>
  <si>
    <t>BW 2:392,3</t>
  </si>
  <si>
    <t>BW 2:392,4</t>
  </si>
  <si>
    <t>Gebeurtenissen na balansdatum</t>
  </si>
  <si>
    <t>- de belastingen over het resultaat uit gewone bedrijfsuitoefening toe te rekenen aan de bedrijfsactiviteit die niet duurzaam wordt voortgezet.</t>
  </si>
  <si>
    <t>Kasstroomoverzicht</t>
  </si>
  <si>
    <t>Overige Gegevens</t>
  </si>
  <si>
    <t>RJ 271.307  RJ 271.314</t>
  </si>
  <si>
    <t>Rjk B5.320</t>
  </si>
  <si>
    <t xml:space="preserve">i + d </t>
  </si>
  <si>
    <t>Voorts worden de cumulatieve totalen van opbrengsten voorschotten en door de opdrachtgever gehouden termijnen vermeld.</t>
  </si>
  <si>
    <t>RJ 221.415</t>
  </si>
  <si>
    <t>PENSIOENVOORZIENINGEN</t>
  </si>
  <si>
    <t>BELONING VOOR HET KAPITAAL</t>
  </si>
  <si>
    <t>Een 'rente' voor het commanditair kapitaal is een post van winstverdeling. De beloning voor het gewone risicodragende eigen vermogen wordt niet berekend, tenzij dat in een vennootschapsakte wordt opgenomen.</t>
  </si>
  <si>
    <t>HERINVESTERINGSRESERVE</t>
  </si>
  <si>
    <t>Het verschil tussen de commerciële boekwaarde en de verminderde fiscale boekwaarde wordt toegelicht, ook als er geen voorziening wordt gevormd.</t>
  </si>
  <si>
    <t>BW 3:15i</t>
  </si>
  <si>
    <t>Bij eenmanszaken e.d. worden veelal niet opgenomen:</t>
  </si>
  <si>
    <t>ARBEIDSBELONING</t>
  </si>
  <si>
    <t xml:space="preserve">Vermelding in totaalcijfers, niet voor iedere bestuurder afzonderlijk. </t>
  </si>
  <si>
    <t>RJ 275.506</t>
  </si>
  <si>
    <t>- tariefverschillen in de situaties waarin winsten worden ingehouden ten opzichte van situaties waarin deze worden uitgekeerd.</t>
  </si>
  <si>
    <t>- belangrijke elementen van het gevoerde beleid.</t>
  </si>
  <si>
    <t>- de kasstromen en financieringsbehoeften.</t>
  </si>
  <si>
    <t>- het internationale ketenbeheer.</t>
  </si>
  <si>
    <t>- financiering.</t>
  </si>
  <si>
    <t>- ofwel ten laste van de resultaten gebracht.</t>
  </si>
  <si>
    <t>- grote rechtspersonen dienen bijzondere waardeverminderingen per segment gesplitst weer te geven.</t>
  </si>
  <si>
    <t>- beschikkingsmacht bij de rechtspersoon levert economische voordelen op.</t>
  </si>
  <si>
    <t>RJ 240.402</t>
  </si>
  <si>
    <t>RJ 265</t>
  </si>
  <si>
    <t xml:space="preserve">Dit zijn: </t>
  </si>
  <si>
    <t>Rj 252.209</t>
  </si>
  <si>
    <t>RJ 212.431</t>
  </si>
  <si>
    <t>Waardering op actuele waarde</t>
  </si>
  <si>
    <t>RJk C1.102</t>
  </si>
  <si>
    <t>Stichting administratiekantoor</t>
  </si>
  <si>
    <t>Door de werking van de Pensioenwet wordt in Nederland alleen gekeken naar de aangegane verplichtingen</t>
  </si>
  <si>
    <t>Toerekening van belastingen in concernverband (fiscale eenheid) kan op verschillende manieren plaatsvinden Civiel juridisch is sprake van onderscheiden rechtspersonen.</t>
  </si>
  <si>
    <t xml:space="preserve">Er zijn geen wettelijke bepalingen over dit onderwerp. De Richtlijnen bevelen echter aan nadere informatie te geven over beëindiging van activiteiten. </t>
  </si>
  <si>
    <t>Deze toelichting mag achterwege blijven, als de partijen voor 100% eigendom zijn van een van de leden van de groep.</t>
  </si>
  <si>
    <t>Het verschil met de in de balans gehanteerde koers bij vreemde valuta wordt afzonderlijk in het kasstroomoverzicht vermeld.</t>
  </si>
  <si>
    <t xml:space="preserve">Vorderingen kortlopend </t>
  </si>
  <si>
    <t>RJ 226.204</t>
  </si>
  <si>
    <t>Niet in balans opgenomen activa</t>
  </si>
  <si>
    <t>Opties</t>
  </si>
  <si>
    <t>RJ 226.208</t>
  </si>
  <si>
    <t xml:space="preserve">Indien geldmiddelen niet ter vrije beschikking staan, bijvoorbeeld door een beslag, moet dat worden vermeld. Ook moet worden vermeld dat er een geblokkeerd saldo op een G-rekening staat. </t>
  </si>
  <si>
    <t>BW 2:372,2</t>
  </si>
  <si>
    <t>RJ 272.313</t>
  </si>
  <si>
    <t>d</t>
  </si>
  <si>
    <t>Earnings quality ratio = de mate van de liquiditeit van de winst.</t>
  </si>
  <si>
    <t>Transacties met verbonden partijen onder niet normale marktomstandigheden moeten volledig worden toegelicht.</t>
  </si>
  <si>
    <t>RJ 270</t>
  </si>
  <si>
    <t>RJ 270.503</t>
  </si>
  <si>
    <t>Aanbevolen wordt de voorwaarden van de financiële instrumenten die kunnen leiden tot verwatering van de winst per aandeel toe te lichten.</t>
  </si>
  <si>
    <t>RJ 340</t>
  </si>
  <si>
    <t>Afzonderlijk worden opgenomen de vorderingen op:</t>
  </si>
  <si>
    <t>BW 2:370,1</t>
  </si>
  <si>
    <t>BW 2:370,2</t>
  </si>
  <si>
    <t>RJ 224.106</t>
  </si>
  <si>
    <t>Effecten</t>
  </si>
  <si>
    <t>BESTUURSVERSLAG</t>
  </si>
  <si>
    <t>Accountantscontrole is niet verplicht.</t>
  </si>
  <si>
    <t>Dit omvat de arbeidskosten van personeel in dienstverband waaronder de bestuurders. Kosten van uitzendkrachten, freelancers en inleenkrachten worden onder de overige bedrijfskosten opgenomen.</t>
  </si>
  <si>
    <t>Het totaal onder de lonen verwerkte bedrag van aandelenopties moet in de toelichting worden vermeld met afzonderlijke vermelding van het bedrag dat onder lonen is verwerkt.</t>
  </si>
  <si>
    <t>Termijnen jaarrekening</t>
  </si>
  <si>
    <t>Er is geen verschil in voorschriften op grond van de omvang van de rechtspersoon.</t>
  </si>
  <si>
    <t>Deponering binnen 8 dagen na vaststelling.</t>
  </si>
  <si>
    <t>Grote rechtspersonen</t>
  </si>
  <si>
    <t xml:space="preserve">BEGRIPSBEPALING </t>
  </si>
  <si>
    <t>Als grote rechtspersoon wordt aangemerkt die rechtspersoon die op twee opeenvolgende balansdata heeft voldaan aan ten minste twee van de volgende vereisten:</t>
  </si>
  <si>
    <t>Middelgrote rechtspersonen vermelden alleen aard en zakelijk doel.</t>
  </si>
  <si>
    <t xml:space="preserve">Kleine rechtspersonen zijn vrijgesteld van vermelding. </t>
  </si>
  <si>
    <t>Eigen vermogen</t>
  </si>
  <si>
    <t>Het eigen vermogen betreft het saldo van de activa verminderd met de schulden en voorzieningen.</t>
  </si>
  <si>
    <t>RJ 221.301</t>
  </si>
  <si>
    <t>RJ 271.201</t>
  </si>
  <si>
    <t>Wanneer vaststaat dat de in stand gehouden onderneming onder Titel 9 Boek 2 BW valt geldt dat voor de gehele rechtspersoon (dus ook het niet ondernemingsdeel.)</t>
  </si>
  <si>
    <t>Van het eigen vermogen wordt een deel afgezonderd, waarvoor reeds een bestemming is aangegeven. Een bestemming die door het bestuur is bepaald (en die dus ook weer ingetrokken kan worden), wordt bestemmingsreserve genoemd.</t>
  </si>
  <si>
    <t>Is de bestemming bepaald door derden (bijvoorbeeld een gift met een opdracht of last) dan wordt dat aangeduid met bestemmingsfonds.</t>
  </si>
  <si>
    <t>WINST- EN-VERLIESREKENING</t>
  </si>
  <si>
    <t>Voor organisaties-zonder-winststreven (zonder mede een commerciële doelstelling) zijn de doelstellingen van de verslaggeving anders dan voor ondernemingen.</t>
  </si>
  <si>
    <t>Vrijstellingen voor kleine organisaties zonder-winststreven</t>
  </si>
  <si>
    <t>De kleine organisatie voldoet aan tenminste twee van de volgende drie vereisten:</t>
  </si>
  <si>
    <t>Evenals bij de andere organisatie-zonder-winststreven is bepaald, dat regelgeving omtrent de jaarrekening van subsidiegevers vóór deze Richtlijn gaan. Zo nodig kan de vereiste informatie in een bijlage bij de jaarrekening worden opgenomen.</t>
  </si>
  <si>
    <t>BW 2:210,5</t>
  </si>
  <si>
    <t>Grote rechtspersonen zijn niet vrijgesteld van de verplichting voor verwijzingen in de balans, de winst-en-verliesrekening en het kasstroomoverzicht naar de relevante toelichtingen.</t>
  </si>
  <si>
    <t>Financiële instrumenten mogen op actuele waarde worden gewaardeerd.</t>
  </si>
  <si>
    <t>Wettelijke reserves</t>
  </si>
  <si>
    <t>Opname van een wettelijke reserve indien:</t>
  </si>
  <si>
    <t>BW: 2:373,4</t>
  </si>
  <si>
    <t>BW 2:389,6</t>
  </si>
  <si>
    <t>BW 2:389,1</t>
  </si>
  <si>
    <t>BW 2:390</t>
  </si>
  <si>
    <t>Wettelijke reserves (gesplitst naar aard):</t>
  </si>
  <si>
    <t>Herwaarderingsreserve</t>
  </si>
  <si>
    <t>BW 2:384,7</t>
  </si>
  <si>
    <t>In dit geval geen wettelijke reserve opnemen.</t>
  </si>
  <si>
    <t>BW 2:390,1</t>
  </si>
  <si>
    <t>BW 2:384,8</t>
  </si>
  <si>
    <t>De herwaarderingsreserve kan worden omgezet in kapitaal.</t>
  </si>
  <si>
    <t>BW 2:390,2</t>
  </si>
  <si>
    <t>Herwaarderingsreserve mag niet hoger zijn dan het verschil tussen de actuele waarde van betreffende activa en de boekwaarde op historische kostprijs.</t>
  </si>
  <si>
    <t>BW 2:390,4</t>
  </si>
  <si>
    <t>Vut-voorziening en verlofregeling</t>
  </si>
  <si>
    <t xml:space="preserve">De voorziening voor VUT-verplichting dient te bevatten: </t>
  </si>
  <si>
    <t>RJ 271.403</t>
  </si>
  <si>
    <t>BW 2:394</t>
  </si>
  <si>
    <t>BW 2:382</t>
  </si>
  <si>
    <t>BW 2:383,1</t>
  </si>
  <si>
    <t>RJ 270.502</t>
  </si>
  <si>
    <t>BW 2:397,3 BW 2:396,4</t>
  </si>
  <si>
    <t xml:space="preserve">Kleine rechtspersonen zijn van accountantscontrole vrijgesteld, tenzij zij IFRS toepassen. </t>
  </si>
  <si>
    <t>Bij toepassing van fiscale waarderingsgrondslagen mogen de grenzen op die grondslag worden bepaald.</t>
  </si>
  <si>
    <t>BW 2:373,3</t>
  </si>
  <si>
    <t>RJ 290</t>
  </si>
  <si>
    <t>Het beslissende kenmerk van eigen vermogen is, dat er daarbij geen verplichting bestaat om liquide middelen of andere activa over te dragen, of te ruilen tegen potentieel nadelige voorwaarden voor de emitterende rechtspersoon</t>
  </si>
  <si>
    <t>RJ 290.813</t>
  </si>
  <si>
    <t>RJ 160.209</t>
  </si>
  <si>
    <t>Het geconsolideerd eigen vermogen kan afwijken van het enkelvoudig eigen vermogen in de jaarrekening.</t>
  </si>
  <si>
    <t xml:space="preserve">Voorbeelden van afwijkingen: </t>
  </si>
  <si>
    <t>RJ 260</t>
  </si>
  <si>
    <t>BW 2:361,1</t>
  </si>
  <si>
    <t>BW 2:364</t>
  </si>
  <si>
    <t>Indeling:</t>
  </si>
  <si>
    <t>BW 2:373</t>
  </si>
  <si>
    <t>ALGEMEEN</t>
  </si>
  <si>
    <t>PRESENTATIE</t>
  </si>
  <si>
    <t>Hedge accounting</t>
  </si>
  <si>
    <t>Hedgen is ook toegestaan voor het valutarisico op deelnemingen.</t>
  </si>
  <si>
    <t>De wet geeft de keuze uit het categoriale model en het functionele model voor de verwerking van winsten en verliezen.</t>
  </si>
  <si>
    <t xml:space="preserve">Betalingskortingen worden afgetrokken van de handelsdebiteuren indien deze als korting op de omzet worden beschouwd. Indien betalingskortingen als onderdeel van de rentebaten en lasten worden gezien, worden deze pas afgetrokken bij de ontvangst. </t>
  </si>
  <si>
    <t>Indien de risico's van oninbaarheid in feite bij de crediteur zijn gebleven blijft de vordering op de balans.</t>
  </si>
  <si>
    <t>Overlopende activa kunnen zijn:</t>
  </si>
  <si>
    <t>Bij huurkoopvorderingen kan op contante waarde worden gewaardeerd. De transactiewinst wordt direct bij levering genomen.</t>
  </si>
  <si>
    <t>Dit saldo kan weer worden onderverdeeld in geplaatst kapitaal, gebonden reserves en vrije reserves.</t>
  </si>
  <si>
    <t>RJ 240.403</t>
  </si>
  <si>
    <t>BW 2:67a,2</t>
  </si>
  <si>
    <t>Vermindering van herwaardering (afschrijving of verkoop) kan via de winst- en-verliesrekening lopen of direct ten gunste van de overige reserves worden gebracht.</t>
  </si>
  <si>
    <t>Vermindering van herwaardering die ten gunste van de winst- en-verliesrekening wordt gebracht, worden alsdan in een aparte post direct vóór de financiële baten en lasten opgenomen.</t>
  </si>
  <si>
    <t>Van het eigen vermogen wordt een deel afgezonderd waarvoor reeds een bestemming is aangegeven. Is deze bestemming door het bestuur bepaald (die dus ook weer ingetrokken kan worden) spreken we van een bestemmingsreserve.</t>
  </si>
  <si>
    <t>Alle vermeerderingen en verminderingen van het eigen vermogen moeten in principe via de staat van baten en lasten worden geleid.</t>
  </si>
  <si>
    <t>VERPLICHTINGEN</t>
  </si>
  <si>
    <t>Vervallen verplichtingen worden zichtbaar in mindering gebracht op verstrekte subsidies en giften.</t>
  </si>
  <si>
    <t>STAAT VAN BATEN EN LASTEN</t>
  </si>
  <si>
    <t xml:space="preserve">Naast de cijfers van het verslagjaar worden ook de begrotingscijfers en vergelijkende cijfers over het vorige boekjaar vermeld. </t>
  </si>
  <si>
    <t>Baten</t>
  </si>
  <si>
    <t>Op een afzonderlijke regel in de balans (vordering en schuld).</t>
  </si>
  <si>
    <t>Indien contante waarde:</t>
  </si>
  <si>
    <t xml:space="preserve">Het bedrag dat niet is opgenomen in de latenties moet toegelicht worden. </t>
  </si>
  <si>
    <t>RJ 272.707</t>
  </si>
  <si>
    <t>Er moet inzicht worden gegeven in de looptijd (meer of minder dan 1 jaar).</t>
  </si>
  <si>
    <t>RJ 272.602</t>
  </si>
  <si>
    <t>In de toelichting wordt uiteengezet op welke wijze in samenhang met herwaarderingen rekening is gehouden met belastingen.</t>
  </si>
  <si>
    <t>BW 2:390,5</t>
  </si>
  <si>
    <t>Actieve latenties</t>
  </si>
  <si>
    <t>Ontstaan veelal door commercieel verlies, dat nog niet gecompenseerd is met fiscale winst (carry forward).</t>
  </si>
  <si>
    <t xml:space="preserve">Eventuele niet opgenomen actieve latenties moeten worden vermeld in de toelichting. </t>
  </si>
  <si>
    <t>Voorziening reorganisatiekosten</t>
  </si>
  <si>
    <t>De voorziening wordt getroffen indien vóór de balansdatum een gedetailleerd plan is opgesteld en de gerechtvaardigde verwachting is gewekt dat dit wordt uitgevoerd.</t>
  </si>
  <si>
    <t>Latente belastingvoorziening (actief en passief)</t>
  </si>
  <si>
    <t>RJ 272.301</t>
  </si>
  <si>
    <t>Bij herwaardering van activa.</t>
  </si>
  <si>
    <t>RJ 272.509</t>
  </si>
  <si>
    <t>RJ 272.405</t>
  </si>
  <si>
    <t>RJ 212.418</t>
  </si>
  <si>
    <t>RJ 212.604</t>
  </si>
  <si>
    <t>Bij de eerste opname wordt gewaardeerd tegen kostprijs.</t>
  </si>
  <si>
    <t>RJ 212.301</t>
  </si>
  <si>
    <t>De waarde wordt verminderd met systematische afschrijvingen gebaseerd op de economische gebruiksduur.</t>
  </si>
  <si>
    <t>BW 2:386,4</t>
  </si>
  <si>
    <t>RJ 212.423</t>
  </si>
  <si>
    <t>Veel gebruikte systemen zijn lineaire afschrijving, degressieve afschrijving (afschrijving op boekwaarde), afschrijving naar rato van het gebruik.</t>
  </si>
  <si>
    <t>RJ 430.105</t>
  </si>
  <si>
    <t>RJ 430.107</t>
  </si>
  <si>
    <t>Verder is voorgeschreven, dat binnen zes maanden na afloop van het boekjaar een balans en staat van baten en lasten moet worden opgemaakt.</t>
  </si>
  <si>
    <t>BEST PRACTICE</t>
  </si>
  <si>
    <t>Actuele waarde</t>
  </si>
  <si>
    <t>Voor de grote rechtspersoon zijn voor wat betreft de inrichting van de balans en de toelichting geen vereenvoudigingen toegestaan. Grote rechtspersonen zijn niet vrijgesteld van het geven van gesegmenteerde informatie en nadere toelichting bij bijzondere waardevermindering van vaste activa per segment.</t>
  </si>
  <si>
    <t>FISCAAL</t>
  </si>
  <si>
    <t>Consolideren is het samenvoegen van balans- en winst- en- verliesrekeningposten onder eliminatie van onderlinge verhoudingen.</t>
  </si>
  <si>
    <t>Een deelneming is een maatschappij waarin kapitaal wordt verschaft en die duurzaam verbonden is ten dienste van de eigen werkzaamheid. Indien meer dan 20% in het kapitaal wordt verschaft wordt het bestaan van een deelneming vermoed.</t>
  </si>
  <si>
    <t>De eisen aan de toelichting zijn gelijk aan die bij de enkelvoudige jaarrekening. Gegevens die al in de enkelvoudige jaarrekening zijn vermeld kunnen achterwege blijven. Dat geldt voor:</t>
  </si>
  <si>
    <t>RJ 121.301</t>
  </si>
  <si>
    <t>RJ 121.404</t>
  </si>
  <si>
    <t>RJ 121.804</t>
  </si>
  <si>
    <t xml:space="preserve">De reden wordt uiteengezet in de toelichting, evenals de betekenis voor vermogen en resultaat door middel van aangepaste cijfers. </t>
  </si>
  <si>
    <t xml:space="preserve">Een stelselwijziging wordt verwerkt in het eigen vermogen aan het eind van het vorige boekjaar. </t>
  </si>
  <si>
    <t>De vergelijkende cijfers van het vorige jaar dienen te worden aangepast evenals opgenomen meerjarenoverzichten.</t>
  </si>
  <si>
    <t>RJ 940</t>
  </si>
  <si>
    <t>Goodwill die is begrepen in gekochte aandelen komt niet ten laste van het resultaat maar wordt in de kostprijs van de aandelen geactiveerd.</t>
  </si>
  <si>
    <t xml:space="preserve">Fiscaal vindt waardering plaats op kostprijs of lagere bedrijfswaarde. </t>
  </si>
  <si>
    <t>De fiscale afschrijving is beperkt:</t>
  </si>
  <si>
    <t xml:space="preserve">Fiscaal is de waardering kostprijs of lagere marktwaarde. </t>
  </si>
  <si>
    <t>Als volgens de leaseregeling sprake is van financiële lease leidt dit bij de lessee tot activeren van het object tegen de kostprijs en afschrijving over de economische levensduur.</t>
  </si>
  <si>
    <t>RJ 214.401</t>
  </si>
  <si>
    <t>RJ 214.601</t>
  </si>
  <si>
    <t>Voorraden zijn activa die worden aangehouden voor verkoop dan wel verbruik bij het productieproces.</t>
  </si>
  <si>
    <t>Zij blijven op de balans zolang alle belangrijke rechten op voordelen alsmede alle belangrijke risico's bij de rechtspersoon berusten.</t>
  </si>
  <si>
    <t>Waardering kan plaatsvinden op basis van gewogen gemiddelde prijzen, FIFO of LIFO.</t>
  </si>
  <si>
    <t>BW 2:385,3</t>
  </si>
  <si>
    <t>Indien een jaarrekening bestaat uit zowel een enkelvoudige jaarrekening als een geconsolideerde jaarrekening, verdient het in het algemeen de voorkeur om de kerncijfers en de kengetallen aan de geconsolideerde jaarrekening te ontlenen.</t>
  </si>
  <si>
    <t>De wet vereist geen toelichting met kengetallen.</t>
  </si>
  <si>
    <t>Financieringsratio’s</t>
  </si>
  <si>
    <t>Liquiditeit:</t>
  </si>
  <si>
    <t>Rentabiliteitsratio’s</t>
  </si>
  <si>
    <t>Rentabiliteit totaal vermogen:</t>
  </si>
  <si>
    <t>Bedrijfsresultaat:</t>
  </si>
  <si>
    <t>BW 2:362,6</t>
  </si>
  <si>
    <t>RJ 160.206</t>
  </si>
  <si>
    <t>Winst per aandeel</t>
  </si>
  <si>
    <t>Toelichten:</t>
  </si>
  <si>
    <t>Het verloop van elke categorie wordt weergegeven in een sluitend overzicht:</t>
  </si>
  <si>
    <t>BW 2:368,1</t>
  </si>
  <si>
    <t>RJ 210.501</t>
  </si>
  <si>
    <t>- som der herwaarderingen.</t>
  </si>
  <si>
    <t>ONDERDELEN VAN IMMATERIËLE VASTE ACTIVA</t>
  </si>
  <si>
    <t>Oprichtingskosten en kosten uitgifte aandelen</t>
  </si>
  <si>
    <t>BW 2:365,2</t>
  </si>
  <si>
    <t>BW 2:386,3</t>
  </si>
  <si>
    <t>Overige posten winst- en verliesrekening</t>
  </si>
  <si>
    <t>- de omstandigheden waarvan de ontwikkeling van de omzet en de rentabiliteit afhankelijk is.</t>
  </si>
  <si>
    <t>Groot</t>
  </si>
  <si>
    <t>Midden</t>
  </si>
  <si>
    <t>Klein</t>
  </si>
  <si>
    <t>Bron</t>
  </si>
  <si>
    <t>i + d</t>
  </si>
  <si>
    <t>uitz</t>
  </si>
  <si>
    <t>BW 2:391 RJ 400</t>
  </si>
  <si>
    <t>BW 2:394,4</t>
  </si>
  <si>
    <t>BW 2:391,4</t>
  </si>
  <si>
    <t>BW 2:391,1</t>
  </si>
  <si>
    <t xml:space="preserve">Meegekocht dividend wordt bij uitkering van het dividend afgeboekt op de kostprijs van de effecten. </t>
  </si>
  <si>
    <t xml:space="preserve">Bonusaandelen worden gewaardeerd op een evenredig deel van de oorspronkelijke kostprijs van de aandelen. </t>
  </si>
  <si>
    <t>Voor direct opeisbare liquide middelen zijn er geen bijzondere afwijkingen ten opzichte van de commerciële waarderingsgrondslagen. Niet onmiddellijk opeisbare liquide middelen in vreemde valuta mogen tegen historische koers of de lagere balanskoers worden genoteerd.</t>
  </si>
  <si>
    <t>Voor de werknemer geldt: heffing over het werkelijke voordeel bij uitoefening of vervreemding van de optie. Het voordeel bij uitoefening wordt belast naar het tabeltarief.</t>
  </si>
  <si>
    <t>Een voorziening mag fiscaal worden gevormd voor verplichtingen en risico’s die op de balansdatum reeds bestaan. Er kan een voorziening worden gevormd indien (baksteenarrest):</t>
  </si>
  <si>
    <t>- de toekomstige uitgaven hun oorsprong vinden in feiten of omstandigheden die zich vóór de balansdatum hebben voorgedaan;</t>
  </si>
  <si>
    <t>- deze toekomstige uitgaven aan deze periode kunnen worden toegerekend;</t>
  </si>
  <si>
    <t>- er een redelijke mate van zekerheid is dat de uitgaven zich zullen voordoen.</t>
  </si>
  <si>
    <t>- boekwaarde einde boekjaar.</t>
  </si>
  <si>
    <t>RJ 292.201</t>
  </si>
  <si>
    <t>Financiële verplichtingen zijn ook financiële instrumenten.</t>
  </si>
  <si>
    <t>RJ 290.413</t>
  </si>
  <si>
    <t>RJ 290.508</t>
  </si>
  <si>
    <t>RJ 290.510</t>
  </si>
  <si>
    <t>RJ 290.523</t>
  </si>
  <si>
    <t>BW 2:375,2</t>
  </si>
  <si>
    <t>Algemeen</t>
  </si>
  <si>
    <t xml:space="preserve">Vreemde valuta </t>
  </si>
  <si>
    <t>In geval van agio wordt aangegeven of het agio fiscaal is erkend als gestort kapitaal (niet verplicht voor middelgroot en klein)</t>
  </si>
  <si>
    <t>Afschrijvingen</t>
  </si>
  <si>
    <t>Afschrijvingen totaal</t>
  </si>
  <si>
    <t>Overige waardeveranderingen totaal</t>
  </si>
  <si>
    <t>EiGEN VERMOGEN</t>
  </si>
  <si>
    <t>Beloning bestuurders</t>
  </si>
  <si>
    <t>RJ 212.263</t>
  </si>
  <si>
    <t>Voorziening milieuschade</t>
  </si>
  <si>
    <t>Een voorziening wordt getroffen indien de rechtspersoon als algemeen bekend beleid heeft dat milieuvervuiling wordt opgeruimd.</t>
  </si>
  <si>
    <t>RJ 252.410</t>
  </si>
  <si>
    <t>Het te betalen bedrag kan redelijkerwijs betrouwbaar worden geschat Zo niet dan wordt dit vermeld onder de verplichtingen die niet in de balans zijn opgenomen.</t>
  </si>
  <si>
    <t>Voorziening herstelkosten</t>
  </si>
  <si>
    <t>Toegestaan zijn de volgende systemen:</t>
  </si>
  <si>
    <t>RJ 252.419</t>
  </si>
  <si>
    <t>Voorziening verwijderingsverplichtingen</t>
  </si>
  <si>
    <t>Indien de verplichting ontstaat op het moment van vervaardiging worden deze kosten verwerkt in de boekwaarden.</t>
  </si>
  <si>
    <t>RJ 252.428</t>
  </si>
  <si>
    <t>Passivering in een voorziening vindt plaats en de kosten worden daarop afgeboekt</t>
  </si>
  <si>
    <t>Voorziening arbeidsongeschiktheidskosten</t>
  </si>
  <si>
    <t>RJ 271.205</t>
  </si>
  <si>
    <t>Voor doorbetalingsverplichtingen van zieke werknemers moet een voorziening worden gevormd, indien de langdurige arbeidsongeschiktheid op de balansdatum reeds bestond.</t>
  </si>
  <si>
    <t>Een voorziening is fiscaal alleen toegestaan voor de doorbetalingsverplichting.</t>
  </si>
  <si>
    <t>Schulden op lange en korte termijn</t>
  </si>
  <si>
    <t>Dit zijn verplichtingen die op balansdatum bestaan en vaststaan; zij worden gewoonlijk door betaling afgewikkeld.</t>
  </si>
  <si>
    <t>RJ 254.111</t>
  </si>
  <si>
    <t>Een verplichting met betrekking tot activa in bestelling wordt vanaf 2005 niet meer opgenomen.</t>
  </si>
  <si>
    <t>RJ 254.109</t>
  </si>
  <si>
    <t>Onderscheid korte en lange termijn</t>
  </si>
  <si>
    <t>RJ 254.303</t>
  </si>
  <si>
    <t>Goodwill in deelnemingen</t>
  </si>
  <si>
    <t>RJ 214.333</t>
  </si>
  <si>
    <t>BW 2:389,7</t>
  </si>
  <si>
    <t>RJ 214.312</t>
  </si>
  <si>
    <t>RJ 214.341</t>
  </si>
  <si>
    <t>RJ 216.235</t>
  </si>
  <si>
    <t>Totaal financiële vaste activa</t>
  </si>
  <si>
    <t>BW 2:367</t>
  </si>
  <si>
    <t>RJ 210.503</t>
  </si>
  <si>
    <t>BW 2:368,2</t>
  </si>
  <si>
    <t>RJ 217.209</t>
  </si>
  <si>
    <t>Beeïndiging bedrijfsactiviteiten</t>
  </si>
  <si>
    <t>Overige gegevens</t>
  </si>
  <si>
    <t xml:space="preserve">1. Gebeurtenissen die nadere informatie geven  over de situatie op balansdatum </t>
  </si>
  <si>
    <t xml:space="preserve">Gebeurtenissen die nadere informatie geven  over de situatie op balansdatum </t>
  </si>
  <si>
    <t>Gebeurtenissen die geen nadere informatie geven over de situatie op balansdatum</t>
  </si>
  <si>
    <t>Segmentatie</t>
  </si>
  <si>
    <t>gemiddeld aantal werknemers &gt; 250</t>
  </si>
  <si>
    <t>Middelgroot</t>
  </si>
  <si>
    <t>BW 2:378,1</t>
  </si>
  <si>
    <t>Verloop van de door de rechtspersoon verleende rechten tot het nemen of verkrijgen van aandelen.</t>
  </si>
  <si>
    <t>RJ 240.238</t>
  </si>
  <si>
    <t>Verschillen in fiscale en commerciële waardering zullen aanleiding geven tot voorzieningen voor latente belastingen.</t>
  </si>
  <si>
    <t xml:space="preserve">Indien voorzieningen langlopend zijn, schrijft  goed koopmansgebruik voor dat deze tegen contante waarde worden opgenomen tegen de actuele rentevoet bij het aangaan van de verplichtingen. </t>
  </si>
  <si>
    <t>Stichtingen en verenigingen die een onderneming drijven, worden voor dat deel van hun activiteiten in de heffing van vennootschapsbelasting betrokken. Er wordt een gesplitste vermogensvergelijking gemaakt voor het belaste en onbelaste deel.</t>
  </si>
  <si>
    <t xml:space="preserve">Ondernemende stichtingen en verenigingen kunnen opteren voor belastingplicht met hun gehele vermogen. De periode waarvoor geopteerd kan worden bedraagt minimaal 5 jaar. </t>
  </si>
  <si>
    <t>Stichtingen en verenigingen die zijn aangemerkt als culturele instellingen en stichtingen en verenigingen die en sociaal belang behartigen en hun winst hoofdzakelijk behalen met vrijwilligers, kunnen een bestedingsreserve vormen ten laste van de winst als ze voornemens zijn in de toekomst:</t>
  </si>
  <si>
    <t xml:space="preserve">Een bestedingsreserve van een jaar wordt uiterlijk in het vijfde jaar na het jaar waarin de reserve is ontstaan, in de winst opgenomen. Onder bijzondere omstandigheden kan van deze termijn worden afgeweken. </t>
  </si>
  <si>
    <t>- uitgaven te doen ter zake van aanschaf, voortbrenging of verbetering van bedrijfsmiddelen, en/of</t>
  </si>
  <si>
    <t>BW 2:362,1</t>
  </si>
  <si>
    <t>Joint Ventures</t>
  </si>
  <si>
    <t>Deze ondernemingsvorm bestaat door een onderlinge regeling tot samenwerken. Veelal heeft geen der partijen een doorslaggevende zeggenschap.</t>
  </si>
  <si>
    <t>Joint ventures zijn volgens deze definitie zelden groepsmaatschappijen.</t>
  </si>
  <si>
    <t>Consolidatietechniek</t>
  </si>
  <si>
    <t>BW 2:392, 1a</t>
  </si>
  <si>
    <t>BW 2:392, 1b</t>
  </si>
  <si>
    <t>BW 2:392, 1c</t>
  </si>
  <si>
    <t>BW 2:392, 1d</t>
  </si>
  <si>
    <t>BW 2:392, 1e</t>
  </si>
  <si>
    <t>BW 2:392, 1f</t>
  </si>
  <si>
    <t>Geplaatst kapitaal is inclusief opgevraagde stortingen. Agio is de storting boven de nominale waarde. Dit is een vrij uitkeerbare reserve.</t>
  </si>
  <si>
    <t xml:space="preserve">Grote rechtspersonen zijn niet vrijgesteld van het opstellen van een overzicht van het totaal resultaat van de rechtspersoon. Dit omvat het geconsolideerd netto resultaat, alsmede rechtstreeks in het vermogen verwerkte mutaties, stelselwijzigingen en herstelde fouten. </t>
  </si>
  <si>
    <t xml:space="preserve">RJ 160.209 </t>
  </si>
  <si>
    <t>RJ 350.203</t>
  </si>
  <si>
    <t>RJ 350.3</t>
  </si>
  <si>
    <t>De vrijstellingen ten opzichte van de grote instellingen zijn in het vervolg weergegeven.</t>
  </si>
  <si>
    <t>Een geconsolideerde jaarrekening behoeft niet te worden opgesteld.</t>
  </si>
  <si>
    <t>Segmentatie van balansposten en staat van baten en lasten naar activiteiten wordt niet vereist, maar wel aanbevolen.</t>
  </si>
  <si>
    <t>Effecten mogen desgewenst op kostprijs of lagere marktwaarde worden gewaardeerd in plaats van actuele waarde.</t>
  </si>
  <si>
    <t>Afzonderlijke vermelding van vorderingen op deelnemingen is niet verplicht.</t>
  </si>
  <si>
    <t>Verloopoverzicht voor elke categorie voorziening is niet verplicht, echter wel voor elke post van het eigen vermogen onderverdeeld in bestemmingsreserves, bestemmingsfondsen en vrij besteedbaar vermogen.</t>
  </si>
  <si>
    <t>Disclaimer:</t>
  </si>
  <si>
    <t>SRA</t>
  </si>
  <si>
    <t>www.sra.nl</t>
  </si>
  <si>
    <t>De mutaties betreffen de verhouding met de aandeelhouders.</t>
  </si>
  <si>
    <t>RJ 150</t>
  </si>
  <si>
    <t>Indien er geen groepsrelatie is kan er wel sprake zijn van verbonden partijen waardoor informatie moet worden verstrekt over onderlinge transacties.</t>
  </si>
  <si>
    <t>Overige informatie over kapitaalbelangen:</t>
  </si>
  <si>
    <t>BW 2:371,1</t>
  </si>
  <si>
    <t>Niet in balans opgenomen verplichtingen</t>
  </si>
  <si>
    <t>BW 2:396,7</t>
  </si>
  <si>
    <t>Het is voor het inzicht van belang om onderscheid te maken tussen omzet en resultaten behaald met kernactiviteiten, nevenactiviteiten en activiteiten die reeds zijn beëindigd of waaruit de onderneming zich op termijn wil terugtrekken.</t>
  </si>
  <si>
    <t>Ten aanzien van het gebruik van financiële instrumenten door de rechtspersoon en zover benodigd voor de beoordeling van de activa, passiva, financiële toestand en het resultaat, worden de doelstellingen en het beleid inzake risicobeheer gemeld.</t>
  </si>
  <si>
    <t>RJ 400.128</t>
  </si>
  <si>
    <t>BW 2:383 b</t>
  </si>
  <si>
    <t>Bij eerste opname tegen reële waarde, daarna tegen de geamortiseerde kostprijs.</t>
  </si>
  <si>
    <t>mio</t>
  </si>
  <si>
    <t>DGA</t>
  </si>
  <si>
    <t>Bij de verslaggeving over maatschappelijk ondernemen wordt aanbevolen om aandacht te besteden aan de volgende aspecten:</t>
  </si>
  <si>
    <t>BW 2:397,8</t>
  </si>
  <si>
    <t>RJ 115.220</t>
  </si>
  <si>
    <t>Als aan twee van de drie criteria twee jaar achtereen wordt voldaan, is de classificatie van toepassing.</t>
  </si>
  <si>
    <t>RJ 122.201</t>
  </si>
  <si>
    <t>Niet monetaire posten die tegen kostprijs zijn opgenomen, worden omgerekend tegen de koers op of rond de transactiedatum. De betreffende koersverschillen worden op dezelfde wijze behandeld als andere waardeveranderingen in de niet-monetaire post, dus in het eigen vermogen of in de winst-en-verliesrekening.</t>
  </si>
  <si>
    <t>De verwerking van koersverschillen verloopt verschillend voor transacties en voor waardering presentatievaluta</t>
  </si>
  <si>
    <r>
      <t xml:space="preserve">De grondslagen van </t>
    </r>
    <r>
      <rPr>
        <sz val="10"/>
        <color indexed="8"/>
        <rFont val="Arial"/>
        <family val="2"/>
      </rPr>
      <t>de omrekening dienen te worden uiteengezet.</t>
    </r>
  </si>
  <si>
    <t>Effectieve indekkingstransacties inzake een netto-investering in bedrijfsuitoefening in het buitenland volgen de verwerkingswijze van die investering.</t>
  </si>
  <si>
    <t>Overige indekkingstransacties worden behandeld bij financiële instrumenten.</t>
  </si>
  <si>
    <t>RJ 122.404</t>
  </si>
  <si>
    <t>RJ 121.105</t>
  </si>
  <si>
    <t>RJ 140.216</t>
  </si>
  <si>
    <t>SCHATTINGSWIJZIGING</t>
  </si>
  <si>
    <t>Een schattingswijziging is een herziening van een eerdere schatting op grond van gewijzigde omstandigheden of nieuwe informatie. Een wijziging in een afschrijvingsstelsel is een voorbeeld van een schattingswijziging.</t>
  </si>
  <si>
    <t>Kenmerken: identificeerbaar, niet monetair, zonder fysieke gedaante, levert toekomstige economische voordelen op bij de rechtspersoon. Ook goodwill is een immaterieel vast actief, zie afzonderlijke paragraaf.</t>
  </si>
  <si>
    <t>Eerste waardering is op verkrijgings- of vervaardigingsprijs. Daarna keuze voor:</t>
  </si>
  <si>
    <t>RJ 210.302</t>
  </si>
  <si>
    <t>VERLOOPOVERZICHT:</t>
  </si>
  <si>
    <t>- som der cumulatieve afschrijvingen en waardeverminderingen;</t>
  </si>
  <si>
    <t>RJ niet activeren eventueel ten laste van agio of overige reserves brengen.</t>
  </si>
  <si>
    <t>Verwerving ter zake van concessies, vergunningen, rechten en intellectuele eigendom</t>
  </si>
  <si>
    <t>Activa in bestelling voldoen niet aan de definitie van een actief maar vormen niet afgewikkelde overeenkomsten. Gemaakte kosten voor activa in uitvoering worden wel geactiveerd.</t>
  </si>
  <si>
    <t>Vervolgens is er keuzemogelijkheid:</t>
  </si>
  <si>
    <t>Wijzigingen in omstandigheden of in de gebruiksduur en/of restwaarde worden verwerkt als schattingswijzigingen.</t>
  </si>
  <si>
    <t xml:space="preserve">Ondergrond van gebouwen wordt afzonderlijk gewaardeerd. Op grond wordt in principe niet afgeschreven. </t>
  </si>
  <si>
    <t>De restwaarde van een actief is het bedrag dat een rechtspersoon nu voor het actief zou ontvangen bij vervreemding, na aftrek van de geschatte vervreemdingskosten, indien het actief reeds de verwachte ouderdom zou hebben en in de staat zou verkeren die aan het einde van de gebruiksduur wordt verwacht.</t>
  </si>
  <si>
    <t>Onderscheiden worden de volgende categorieën:</t>
  </si>
  <si>
    <t>Deze categorieën worden afzonderlijk weergegeven voor zover het verbonden maatschappijen zijn die buiten de groep staan.</t>
  </si>
  <si>
    <t>Interne rentabiliteit = winst voor belasting en rente/werkzaam vermogen.</t>
  </si>
  <si>
    <t>Interestdekking = winst voor belasting en rente, gedeeld door de interestlast.</t>
  </si>
  <si>
    <t>Cashflow = winst + afschrijvingen + mutaties voorzieningen.</t>
  </si>
  <si>
    <t>Hefboomwerking = vergelijking interne rentabiliteit met gemiddelde rentelast vreemd vermogen.</t>
  </si>
  <si>
    <t>i+d</t>
  </si>
  <si>
    <t>RJ 212.707</t>
  </si>
  <si>
    <t>Vastgoed in ontwikkeling moet apart worden vermeld</t>
  </si>
  <si>
    <t>RJ 213.802b</t>
  </si>
  <si>
    <t>RJ  240.215</t>
  </si>
  <si>
    <t>Coproductie Marketing en Vaktechniek</t>
  </si>
  <si>
    <t>Wet: activeren is toegestaan, maar daartegenover een wettelijke reserve vormen.</t>
  </si>
  <si>
    <t>- onder aftrek van de reële waarde van daartegenover staande beleggingen.</t>
  </si>
  <si>
    <t>Deze voorziening wordt door de RJ beschreven onder de materiële vaste activa.</t>
  </si>
  <si>
    <t xml:space="preserve">Waarderig geschied door de geschatte uitgaven over de komende gebruiksjaren te verdelen. Alle soortgelijke duurzame activa moeten op dezelfde manier behandeld worden, ook activa in lease. </t>
  </si>
  <si>
    <t>Middelgrote en kleine ondernemingen mogen de opbrengstcategorieën en kosten van de omzet samenvoegen onder één post 'Brutobedrijfsresultaat'.</t>
  </si>
  <si>
    <t>- op materiële vaste activa.</t>
  </si>
  <si>
    <t>- (soms) pensioenlasten van de ondernemer, tenzij] er een verplichte beroepspensioenregeling is.</t>
  </si>
  <si>
    <t>Deze fiscale faciliteit dient in de commerciële jaarrekening niet gevolgd te worden, tenzij het om ondergeschikte belangen gaat.</t>
  </si>
  <si>
    <t>Voorzieningen</t>
  </si>
  <si>
    <t>Voorzieningen worden opgenomen voor voorzienbare verplichtingen en mogelijke verliezen die hun oorsprong vinden voor het einde van het boekjaar.</t>
  </si>
  <si>
    <t>BW 2:374,1</t>
  </si>
  <si>
    <t>RJ 252.201</t>
  </si>
  <si>
    <t xml:space="preserve">De rechtspersoon verleent opdracht tot onderzoek van de Jaarrekening aan een accountant. </t>
  </si>
  <si>
    <t>RJ 213.802</t>
  </si>
  <si>
    <t>RJ 213.805</t>
  </si>
  <si>
    <t>Financiële vaste activa</t>
  </si>
  <si>
    <t>Een schattingswijziging leidt niet tot correcties in het verleden; inhaalafschrijvingen zijn bij een inschattingswijziging niet toegestaan.</t>
  </si>
  <si>
    <t>Afschrijving in ten hoogste 20 jaar, tenzij de levensduur aantoonbaar langer is. In dat geval dient elk jaar de realiseerbare waarde te worden bepaald.</t>
  </si>
  <si>
    <t>Het verloopoverzicht is uitgesplitst naar genoemde categorieën en bevat in een sluitend overzicht de volgende informatie:</t>
  </si>
  <si>
    <t>RJ 240.219</t>
  </si>
  <si>
    <t>Wet kostprijs minus afschrijving in maximaal 5 jaar.</t>
  </si>
  <si>
    <t>Waardering op actuele waarde is niet waarschijnlijk aangezien er veelal geen liquide markt is.</t>
  </si>
  <si>
    <t>Indien geactiveerd wordt het verloop toegelicht.</t>
  </si>
  <si>
    <t>Activeren als toekomstige voordelen zullen toekomen aan de rechtspersoon en de kosten betrouwbaar kunnen worden vastgesteld.</t>
  </si>
  <si>
    <t>Opname in de balans is verplicht, als het waarschijnlijk is dat de prestatieeenheden zullen toekomen aan de rechtspersoon en de kosten betrouwbaar kunnen worden vastgesteld.</t>
  </si>
  <si>
    <t>RJ 212.201</t>
  </si>
  <si>
    <t>RJ 212.206</t>
  </si>
  <si>
    <t>RJ 212.445</t>
  </si>
  <si>
    <t>Deze stichtingen hebben tot doel het stemrecht op aandelen uit te oefenen. Tegenover de aandelen geeft de stichting certificaten van aandelen uit.</t>
  </si>
  <si>
    <t>De aandelen worden niet op de balans opgenomen omdat het niet waarschijnlijk is dat economische voordelen naar de stichting zullen vloeien. Dividenden worden immers doorgegeven aan de certificaathouders.</t>
  </si>
  <si>
    <t>BW 2:10</t>
  </si>
  <si>
    <t>RJ 640.313</t>
  </si>
  <si>
    <t>RJ 240.401</t>
  </si>
  <si>
    <t>Grote rechtspersonen moeten, in het boekjaar waarin beëindiging van bedrijfsactiviteiten plaatsvindt, een toelichting opnemen over de belasting over het resultaat uit gewone bedrijfsuitoefening toe te rekenen aan de bedrijfsactiviteit die niet duurzaam wordt voortgezet. Van beëindiging is sprake zodra zich de volgende situaties voordoen:</t>
  </si>
  <si>
    <t>Overige financiële vaste activa</t>
  </si>
  <si>
    <t>BW 2:387,2</t>
  </si>
  <si>
    <t>RJ 120.403</t>
  </si>
  <si>
    <t>i</t>
  </si>
  <si>
    <t xml:space="preserve">i </t>
  </si>
  <si>
    <t>BW 2:384,3</t>
  </si>
  <si>
    <t>BW 2:384,5</t>
  </si>
  <si>
    <t>BW 2.389,8</t>
  </si>
  <si>
    <t>RJ 122.304</t>
  </si>
  <si>
    <t>RJ 122.502</t>
  </si>
  <si>
    <t>RJ 122.503</t>
  </si>
  <si>
    <t>BW 2:387,4</t>
  </si>
  <si>
    <t>BAW art.7</t>
  </si>
  <si>
    <t>RJ 121.309 RJ 121.323</t>
  </si>
  <si>
    <t>RJ 121.605</t>
  </si>
  <si>
    <t>BW 2.390,3</t>
  </si>
  <si>
    <t>BW 2:387,5</t>
  </si>
  <si>
    <t>RJ 140.206</t>
  </si>
  <si>
    <t>RJ 140.208</t>
  </si>
  <si>
    <t>RJ 140.211</t>
  </si>
  <si>
    <t>RJ 145.301</t>
  </si>
  <si>
    <t>RJ 145.305</t>
  </si>
  <si>
    <t>Immateriële vaste activa</t>
  </si>
  <si>
    <t>OPNAME</t>
  </si>
  <si>
    <t>Voorwaarden voor opname in de jaarrekening:</t>
  </si>
  <si>
    <t>RJ 210.201</t>
  </si>
  <si>
    <t>RJ 210.401</t>
  </si>
  <si>
    <t>BW 2:365</t>
  </si>
  <si>
    <t>Goodwill verkregen van derden</t>
  </si>
  <si>
    <t>RJ 212.427</t>
  </si>
  <si>
    <t>RJ 212.428</t>
  </si>
  <si>
    <t>ONDERDELEN</t>
  </si>
  <si>
    <t>Directe en indirecte methode operationele kasstroom</t>
  </si>
  <si>
    <t>RJ 252.417</t>
  </si>
  <si>
    <t>RJ 271.504</t>
  </si>
  <si>
    <t>Indien geen voorziening wordt opgenomen wordt informatie verstrekt onder niet in de balans opgenomen passiva.</t>
  </si>
  <si>
    <t>RJ 252.416</t>
  </si>
  <si>
    <t>Indien wel een voorziening wordt opgenomen moet deze adequaat worden toegelicht.</t>
  </si>
  <si>
    <t>Garantievoorziening</t>
  </si>
  <si>
    <t>RJ 252.408</t>
  </si>
  <si>
    <t xml:space="preserve">WAARDERING </t>
  </si>
  <si>
    <t>Daarin valt te onderscheiden:</t>
  </si>
  <si>
    <t>Niet tegen actuele waarde</t>
  </si>
  <si>
    <t>Met waardedalingen mag alleen rekening worden gehouden, als deze zich in het boekjaar hebben voorgedaan.</t>
  </si>
  <si>
    <t>Onderhanden projecten in opdracht van derden</t>
  </si>
  <si>
    <t>Voorts per einde boekjaar:</t>
  </si>
  <si>
    <t>BW 2:375,3</t>
  </si>
  <si>
    <t>RJ 212.705 BAW art.9</t>
  </si>
  <si>
    <t>Een fiscale herinvesteringsreserve mag worden afgeboekt voordat de afschrijvingsbeperkingen worden toegepast.</t>
  </si>
  <si>
    <t>Leasing</t>
  </si>
  <si>
    <t>De economische eigendom is beslissend voor de opname in de jaarrekening en de classificatie.</t>
  </si>
  <si>
    <t>RJ 292.118</t>
  </si>
  <si>
    <t>Onderscheiden wordt:</t>
  </si>
  <si>
    <t>- operationele lease de voor- en nadelen worden grotendeels gedragen door de lessor.</t>
  </si>
  <si>
    <t>Aanwijzingen voor financiële lease zijn:</t>
  </si>
  <si>
    <t>RJ 292.120</t>
  </si>
  <si>
    <t>- wijzigingen in de restwaarde worden verrekend.</t>
  </si>
  <si>
    <t>RJ 292.206</t>
  </si>
  <si>
    <t>BAW art.10</t>
  </si>
  <si>
    <t>Vorderingen op aandeelhouders moeten afzonderlijk worden vermeld.</t>
  </si>
  <si>
    <t>Van de vorderingen op bestuurders en commissarissen wordt vermeld:</t>
  </si>
  <si>
    <t>Bij hyperinflatie moet eerst worden omgerekend in koopkrachteenheden en dan naar de balanskoers. Toegestaan is terug te rekenen naar het begin van het boekjaar.</t>
  </si>
  <si>
    <t xml:space="preserve">VERWERKING </t>
  </si>
  <si>
    <t>Deze worden verwerkt indien zij blijken in de periode tot het opmaken van de jaarrekening.</t>
  </si>
  <si>
    <t>2. Gebeurtenissen die geen nadere informatie geven over de situatie op balansdatum</t>
  </si>
  <si>
    <t>Het voorgestelde dividend (winstbestemming) wordt bij voorkeur niet verwerkt als schuld (RJ).</t>
  </si>
  <si>
    <t>De wet staat dat echter wel toe.</t>
  </si>
  <si>
    <t>Winst-en-verliesrekening</t>
  </si>
  <si>
    <t>Wissels die zijn afgegeven door een debiteur geven geen aanleiding om de debiteurenvordering af te boeken totdat deze is geïnd of verdisconteerd.</t>
  </si>
  <si>
    <t>RJ 222.201</t>
  </si>
  <si>
    <t>RJ 222.204</t>
  </si>
  <si>
    <t>RJ 290.504</t>
  </si>
  <si>
    <t>Discontinuïteit</t>
  </si>
  <si>
    <t>RJ 170.302</t>
  </si>
  <si>
    <t>In de verslagperiode afgewikkelde transacties worden verwerkt tegen de koers van afwikkeling, met verwerking van koersverschillen in de winst- en verliesrekening.</t>
  </si>
  <si>
    <t>RJ 122.207</t>
  </si>
  <si>
    <t>RJ 122.203</t>
  </si>
  <si>
    <t>Niet-monetaire posten met actuele waarde als grondslag worden gewaardeerd tegen de wisselkoers op het moment waarop de actuele waarde werd bepaald.</t>
  </si>
  <si>
    <t>RJ 122.217</t>
  </si>
  <si>
    <t>RJ 122.312</t>
  </si>
  <si>
    <t>De grondslagen voor omrekening en verwerking moeten worden toegelicht voor transacties, buitenlandse activiteiten en goodwill.</t>
  </si>
  <si>
    <t>Voor de waardering van voorraden zijn toegestaan:</t>
  </si>
  <si>
    <t>b. substantialistische stelsels, die de actuele waarde van de verbruikte goederen benaderen.</t>
  </si>
  <si>
    <t>marketing@sra.nl</t>
  </si>
  <si>
    <t>Algemene grondslagen</t>
  </si>
  <si>
    <t>RJ 120.402</t>
  </si>
  <si>
    <t>Als basis voor toetsing aan de criteria geldt de geconsolideerde jaarrekening, tenzij art. 2:408 BW wordt toegepast.</t>
  </si>
  <si>
    <t>Monetaire balansposten uit nog niet afgewikkelde transacties worden gewaardeerd tegen de koers op balansdatum. Koersverschillen worden in de resultatenrekening opgenomen.</t>
  </si>
  <si>
    <t>De stand aan het begin van het boekjaar wordt naar de eindbalanskoers omgerekend en het verschil wordt in de wettelijke reserve omrekeningsverschillen verwerkt.</t>
  </si>
  <si>
    <t>In het geval dat consolidatie plaatsvindt worden alle activa en passiva omgerekend en in de reserve omrekeningsverschillen verwerkt.</t>
  </si>
  <si>
    <t>Omrekeningsverschillen inzake omrekening van monetaire posten of bedrijfsuitoefening in het buitenland die rechtstreeks in het eigen vermogen worden verwerkt, worden afzonderlijk vermeld, evenals de mutaties in de reserve omrekeningsverschillen.</t>
  </si>
  <si>
    <t>STELSELWIJZIGING</t>
  </si>
  <si>
    <t>Stelselwijziging is vereist indien de wet of de RJ dit voorschrijft of een belangrijke verbetering van het inzicht daartoe noodzaakt.</t>
  </si>
  <si>
    <t>RJ 210.417</t>
  </si>
  <si>
    <t>De post moet worden uitgesplitst in categoriëen:</t>
  </si>
  <si>
    <t>Intern ontwikkelde merken, uitgaverechten, klantenbestanden e.d. niet activeren.</t>
  </si>
  <si>
    <t>RJ 210.229</t>
  </si>
  <si>
    <t>Kosten van onderhoud en vernieuwing mogen worden geactiveerd mits ze voldoen aan activeringsvoorwaarden</t>
  </si>
  <si>
    <t>RJ 212.402</t>
  </si>
  <si>
    <t>RJ 212.403</t>
  </si>
  <si>
    <t>RJ 212.425</t>
  </si>
  <si>
    <t>De afschrijving vangt aan zodra het actief beschikbaar is voor het beoogde gebruik.</t>
  </si>
  <si>
    <t>Naar keuze mogen in de vervaardigingsprijs worden opgenomen:</t>
  </si>
  <si>
    <t>BW 2:366,2</t>
  </si>
  <si>
    <t>Het alternatief is waardering op kostprijs verminderd met afschrijvingen. Dit is toegestaan en moet dan voor alle vastgoedbeleggingen worden toegepast. In de toelichting dient de reële waarde te worden vermeld.</t>
  </si>
  <si>
    <t>RJ 213.515
RJ 213.502</t>
  </si>
  <si>
    <t>RJ 213.503
RJ 213.504</t>
  </si>
  <si>
    <t>De hoofdlijnen zijn als volgt:</t>
  </si>
  <si>
    <t>Bij financiële lease wordt het actief opgenomen tegen de reële waarde of lagere contante waarde van de leasebetalingen. De verplichting wordt gekapitaliseerd en als langlopende schuld opgenomen.</t>
  </si>
  <si>
    <t>Dit zijn financiële activa die bestemd zijn duurzaam met de rechtspersoon verbonden te blijven. Er wordt onderscheid gemaakt in aandelen in groeps- dochter- en overige maatschappijen, alsmede langlopende vorderingen en beleggingen Financiële vaste activa kunnen tevens zijn derivaten, afdekkings en andere financiële instrumenten en worden daardoor ook onderworpen aan de regels voor financiële instrumenten.</t>
  </si>
  <si>
    <r>
      <t xml:space="preserve">Een </t>
    </r>
    <r>
      <rPr>
        <i/>
        <sz val="10"/>
        <color indexed="8"/>
        <rFont val="Arial"/>
        <family val="2"/>
      </rPr>
      <t>groepsmaatschappij</t>
    </r>
    <r>
      <rPr>
        <sz val="10"/>
        <color indexed="8"/>
        <rFont val="Arial"/>
        <family val="2"/>
      </rPr>
      <t xml:space="preserve"> behoort tot een economische eenheid waarin vennootschappen organisatorisch zijn verbonden, met volgens de wetsgeschiedenis het element van centrale leiding.</t>
    </r>
  </si>
  <si>
    <r>
      <t xml:space="preserve">Het begrip </t>
    </r>
    <r>
      <rPr>
        <i/>
        <sz val="10"/>
        <color indexed="8"/>
        <rFont val="Arial"/>
        <family val="2"/>
      </rPr>
      <t>dochtermaatschappij</t>
    </r>
    <r>
      <rPr>
        <sz val="10"/>
        <color indexed="8"/>
        <rFont val="Arial"/>
        <family val="2"/>
      </rPr>
      <t xml:space="preserve"> wordt afgemeten aan de juridische stemrechtverhoudingen.</t>
    </r>
  </si>
  <si>
    <t xml:space="preserve">Er is sprake van een dochtermaatschappij indien </t>
  </si>
  <si>
    <t xml:space="preserve">- meer dan de helft van de stemmen kan worden uitgebracht, al dan niet krachtens een overeenkomst met derden, of </t>
  </si>
  <si>
    <t>- minstens de helft van de bestuurders of commissarissen kan worden benoemd, of</t>
  </si>
  <si>
    <t>- de rechtspersoon volledig aansprakelijk vennoot is.</t>
  </si>
  <si>
    <r>
      <t xml:space="preserve">Een </t>
    </r>
    <r>
      <rPr>
        <i/>
        <sz val="10"/>
        <color indexed="8"/>
        <rFont val="Arial"/>
        <family val="2"/>
      </rPr>
      <t>deelneming</t>
    </r>
    <r>
      <rPr>
        <sz val="10"/>
        <color indexed="8"/>
        <rFont val="Arial"/>
        <family val="2"/>
      </rPr>
      <t xml:space="preserve"> is een maatschappij, waarin kapitaal wordt verschaft en die duurzaam verbonden is ten dienste van de eigen werkzaamheid. Indien meer dan 20% in het kapitaal wordt verschaft wordt het bestaan van een deelneming vermoed.</t>
    </r>
  </si>
  <si>
    <r>
      <rPr>
        <i/>
        <sz val="10"/>
        <color indexed="8"/>
        <rFont val="Arial"/>
        <family val="2"/>
      </rPr>
      <t>Deelnemingen</t>
    </r>
    <r>
      <rPr>
        <sz val="10"/>
        <color indexed="8"/>
        <rFont val="Arial"/>
        <family val="2"/>
      </rPr>
      <t xml:space="preserve"> (en dus ook </t>
    </r>
    <r>
      <rPr>
        <i/>
        <sz val="10"/>
        <color indexed="8"/>
        <rFont val="Arial"/>
        <family val="2"/>
      </rPr>
      <t>groepsmaatschappijen</t>
    </r>
    <r>
      <rPr>
        <sz val="10"/>
        <color indexed="8"/>
        <rFont val="Arial"/>
        <family val="2"/>
      </rPr>
      <t>) worden gewaardeerd volgens de vermogensmutatiemethode, mits invloed van betekenis aanwezig is.</t>
    </r>
  </si>
  <si>
    <t>Vorderingen worden eerst gewaardeerd op reële waarde en vervolgens op geamortiseerde kostprijs. Waardeveranderingen worden direct in het resultaat verwerkt.</t>
  </si>
  <si>
    <t>Administratieve overheadkosten die niet bijdragen aan de voorraad, abnormale verspillingen, opslagkosten (behoudens voor productieproces) en verkoopkosten worden niet in de kostprijs opgenomen.</t>
  </si>
  <si>
    <t>RJ 220.302</t>
  </si>
  <si>
    <t>Onderhanden projecten vormt een afzonderlijke categorie.</t>
  </si>
  <si>
    <t>RJ 221.105</t>
  </si>
  <si>
    <t>Te onderscheiden zijn aanneemcontracten (vaste prijs) en regiecontracten (prijs op basis van bestede directe kosten plus opslag).</t>
  </si>
  <si>
    <t>De projectkosten bestaan uit directe kosten, aan projectactiviteiten of het project toerekenbare kosten, ofwel indirecte kosten en rente.</t>
  </si>
  <si>
    <t>b. winstneming na oplevering van het gehele project (completed contract-methode).</t>
  </si>
  <si>
    <t>Voor aanneemcontracten is vereist dat de stand van het werk en de kosten om het project af te maken op betrouwbare wijze bepaalbaar zijn en de kosten vergeleken kunnen worden met de voorcalculatie.</t>
  </si>
  <si>
    <t>Voor regiecontracten is vereist dat de economische voordelen naar de rechtspersoon toevloeien en de toerekenbare projectkosten op betrouwbare wijze te bepalen zijn.</t>
  </si>
  <si>
    <t>RJ 221.303</t>
  </si>
  <si>
    <t>Schattingswijzigingen met betrekking tot projectopbrengsten of -kosten of het resultaat van een project worden bij winstneming naar rato van de voortgang verwerkt als schattingswijziging.</t>
  </si>
  <si>
    <t>RJ 221.325
RJ 145</t>
  </si>
  <si>
    <t>RJk B5.308</t>
  </si>
  <si>
    <t>Kortlopende vorderingen onderscheiden zich van langlopende vorderingen doordat zij binnen een jaar na afloop van het boekjaar opeisbaar zijn, ofwel dat zij niet bestemd zijn om de uitoefening van de werkzaamheid duurzaam te dienen. Voor zover de looptijd langer is dan een jaar wordt dit aangegeven.</t>
  </si>
  <si>
    <t>Vorderingen kunnen behoren tot de vlottende en tot de vaste activa:</t>
  </si>
  <si>
    <t>RJ 222.103</t>
  </si>
  <si>
    <t>Voor zover de vorderingen financiële instrumenten betreffen wordt verwezen naar financiële instrumenten.</t>
  </si>
  <si>
    <t>- nog te ontvangen bedragen, die gunste van afgelopen perioden komen.</t>
  </si>
  <si>
    <t>Vorderingen worden bij de eerste opname gewaardeerd op reële waarde, inclusief transactiekosten.</t>
  </si>
  <si>
    <t>RJ 222.202</t>
  </si>
  <si>
    <t xml:space="preserve">Voor kleine rechtspersonen geldt dit alleen voor het totaalbedrag. </t>
  </si>
  <si>
    <t>RJ 226.101</t>
  </si>
  <si>
    <t>De volgende effecten worden onderscheiden:</t>
  </si>
  <si>
    <t>RJ 226.102</t>
  </si>
  <si>
    <r>
      <t xml:space="preserve">b. </t>
    </r>
    <r>
      <rPr>
        <i/>
        <sz val="10"/>
        <color indexed="8"/>
        <rFont val="Arial"/>
        <family val="2"/>
      </rPr>
      <t>Beursgenoteerde aandelen:</t>
    </r>
    <r>
      <rPr>
        <sz val="10"/>
        <color indexed="8"/>
        <rFont val="Arial"/>
        <family val="2"/>
      </rPr>
      <t xml:space="preserve"> waarderen op reële waarde waardeveranderingen naar keuze alles via de resultaten of de ongerealiseerde waardeveranderingen via de herwaarderingsreserve. </t>
    </r>
  </si>
  <si>
    <r>
      <t xml:space="preserve">c. </t>
    </r>
    <r>
      <rPr>
        <i/>
        <sz val="10"/>
        <color indexed="8"/>
        <rFont val="Arial"/>
        <family val="2"/>
      </rPr>
      <t>Niet beursgenoteerde aandelen:</t>
    </r>
    <r>
      <rPr>
        <sz val="10"/>
        <color indexed="8"/>
        <rFont val="Arial"/>
        <family val="2"/>
      </rPr>
      <t xml:space="preserve"> waarderen naar keuze op reële waarde of kostprijs, resultaten bij reële waarde naar keuze via de resultaten of de herwaarderingsreserve.</t>
    </r>
  </si>
  <si>
    <t>BW 2:371</t>
  </si>
  <si>
    <t>Indien de reële waarde hoger is dan de balans waarde moet deze bij waardering tegen verkrijgingsprijs worden vermeld in de toelichting.</t>
  </si>
  <si>
    <t>RJ 214.602</t>
  </si>
  <si>
    <t>Waardeveranderingen worden in de winst-en-verliesrekening opgenomen onder het hoofd: ‘waardeveranderingen van vorderingen die tot de vaste activa behoren en van effecten’.</t>
  </si>
  <si>
    <t>Wanneer liquide middelen langer dan 12 maanden niet ter vrije beschikking staan, dienen zij onder financiële vaste activa te worden opgenomen.</t>
  </si>
  <si>
    <t>RJ 228.301</t>
  </si>
  <si>
    <t>1. voorwaardelijke activa onder opschortende of ontbindende voorwaarde</t>
  </si>
  <si>
    <t>Het is ook toegestaan de reële waarde van de optie te verwerken, dat wil zeggen inclusief de verwachtingswaarde</t>
  </si>
  <si>
    <t>x, nieuw</t>
  </si>
  <si>
    <t>- verwaterde winst per aandeel.</t>
  </si>
  <si>
    <t>Gewone winst per aandeel voor elk type gewone aandelen.</t>
  </si>
  <si>
    <t>Verwaterde winst per aandeel voor elk type gewone aandelen.</t>
  </si>
  <si>
    <t>- de bedragen die gebruikt worden als noemer</t>
  </si>
  <si>
    <t>- aansluiting met de nettowinst of -verlies over de periode.</t>
  </si>
  <si>
    <t>Overeenkomstig toegezegd pensioenregeling.</t>
  </si>
  <si>
    <t>Er moet met de contante waarde rekening worden gehouden indien dit een aanmerkelijk verschil met de nominale bedragen oplevert.</t>
  </si>
  <si>
    <t>Schulden worden fiscaal gewaardeerd met inachtneming van de omstandigheden zoals die aanwezig waren op balansdatum aan de hand van de kennis daarover tot het moment waarop de aanslag onherroepelijk vaststaat. Rentedragende schulden worden in principe gewaardeerd op nominale waarde.</t>
  </si>
  <si>
    <t xml:space="preserve">De lasten uit gewone bedrijfsuitoefening kunnen worden weergegeven volgens de: </t>
  </si>
  <si>
    <t>a. categoriale indeling</t>
  </si>
  <si>
    <t>b. functionele indeling</t>
  </si>
  <si>
    <t>Bezoldiging bestuurders en commissarissen</t>
  </si>
  <si>
    <t xml:space="preserve">BW 2:383,1 </t>
  </si>
  <si>
    <t>WNT</t>
  </si>
  <si>
    <t>- rentelasten en soortgelijke kosten.</t>
  </si>
  <si>
    <t>- resultaat na belastingen.</t>
  </si>
  <si>
    <t>Bij de directe methode kunnen de kasstromen uit hoofde van de omzetbelasting op twee manieren worden gepresenteerd:</t>
  </si>
  <si>
    <t>Nv’s met aandelen aan toonder vermelden het beloningsbeleid ten aanzien van bestuurders en commissarissen.</t>
  </si>
  <si>
    <t>BW 2:392,2</t>
  </si>
  <si>
    <t>BW 2:362,2</t>
  </si>
  <si>
    <t>Voor kleine rechtspersonen is het toegestaan om een dividenduitkering die na balansdatum wordt vastgesteld als verplichting op balansdatum op te nemen.</t>
  </si>
  <si>
    <t>RJ 140.216 
RJ 145.305</t>
  </si>
  <si>
    <t>b. de bevoegde organen van de rechtspersoon hebben een formeel en gedetailleerd plan dat leidt tot beëindiging van een bedrijfsactiviteit goedgekeurd en hebben het plan bekendgemaakt.</t>
  </si>
  <si>
    <t>RJ 345.304, b</t>
  </si>
  <si>
    <t>BW 2:392,a</t>
  </si>
  <si>
    <t>De andere overige gegevens mogen ten kantore van de vennootschap ter inzage worden gehouden en op verzoek worden verstrekt.</t>
  </si>
  <si>
    <t>Openbaarmaking</t>
  </si>
  <si>
    <t>De jaarrekening zoals deze door het bestuur van de rechtspersoon is opgesteld en door de algemene vergadering is vastgesteld wordt volledig openbaar gemaakt.</t>
  </si>
  <si>
    <t>Deskundigenonderzoek</t>
  </si>
  <si>
    <t>BW 2:10,2</t>
  </si>
  <si>
    <t>Voor rechtspersonen is het kader van de verslaggeving vastgelegd dat zij inzicht geven in:</t>
  </si>
  <si>
    <t>Teneinde de prestaties op een zo volledig mogelijke basis te kunnen beoordelen vanuit de jaarrekening zijn verschillende correcties aan te bevelen. Deze worden hierna toegelicht.</t>
  </si>
  <si>
    <t xml:space="preserve">In andere gevallen zal naar ervaringsregels kunnen worden gezocht of aansluiting worden gezocht bij het gebruikelijk loon dat de fiscus voor dga's hanteert. </t>
  </si>
  <si>
    <t>De belastingdruk is afhankelijk van de persoonlijke omstandigheden van de IB-ondernemer. Deze vermelding in een commerciële jaarrekening zal niet veel toevoegen, maar eerder tot een cijfer leiden, dat niet betrouwbaar kan worden vastgesteld.</t>
  </si>
  <si>
    <t>De verplichte deelname aan een bedrijfs- of beroepspensioenfonds kan hieronder worden vermeld. Verder kan de FOR-dotatie worden opgenomen, die ten laste van de winstverdeling komt.</t>
  </si>
  <si>
    <t xml:space="preserve">In de balans wordt de FOR als afzonderlijke rubriek onder het eigen vermogen opgenomen. </t>
  </si>
  <si>
    <t>IB art. 3.54</t>
  </si>
  <si>
    <t>BW 2:299a
BW 2:48,3</t>
  </si>
  <si>
    <t>In rechte afdwingbare toezeggingen worden als schuld of voorziening opgenomen.</t>
  </si>
  <si>
    <t>- uitgaven te doen voor projecten.</t>
  </si>
  <si>
    <t>Er zijn door de RJ voorschriften gegeven voor gewone organisaties-zonder-winststreven en vrijstellingen voor kleine organisaties (bundel RJk). De richtlijn is in 2013 volledig herschreven, zonder dat sprake is van inhoudelijke wijzigingen.</t>
  </si>
  <si>
    <t>RJ 640.102</t>
  </si>
  <si>
    <t>De Richtlijn betreft een aanbeveling, aangepast aan de doelstelling van de verslaggeving voor deze organisaties. Specifieke wet- en regelgeving en subsidievoorschriften gaan voor op de RJ.</t>
  </si>
  <si>
    <t>RJ 640.104</t>
  </si>
  <si>
    <t>RJ 640.304</t>
  </si>
  <si>
    <t>RJ 640.501</t>
  </si>
  <si>
    <t>RJ 640.506</t>
  </si>
  <si>
    <t>RJ 640.315
RJ 640.311</t>
  </si>
  <si>
    <t>RJ 640.317</t>
  </si>
  <si>
    <t>RJ 640.201</t>
  </si>
  <si>
    <t>In rechte afdwingbare verplichtingen worden in het jaar van toezegging als last opgenomen, ook al is deze verplichting voor meer dan een jaar aangegaan.</t>
  </si>
  <si>
    <t>RJ 640.202</t>
  </si>
  <si>
    <t>RJ 640.203</t>
  </si>
  <si>
    <t>RJ 640.301
RJ 640.305</t>
  </si>
  <si>
    <t>De minimaal te onderscheiden rubrieken voor het categoriale model zijn:</t>
  </si>
  <si>
    <t>- baten als tegenprestatie voor de levering van producten en/of diensten</t>
  </si>
  <si>
    <t>RJ 640.205 e.v.</t>
  </si>
  <si>
    <t>RJ 640.413</t>
  </si>
  <si>
    <t>RJ 640.204</t>
  </si>
  <si>
    <t>Daarin wordt ook toekomstgerichte informatie opgenomen.</t>
  </si>
  <si>
    <t>RJ 640.517 
t/m 519</t>
  </si>
  <si>
    <t xml:space="preserve">Indien de organisatie kan worden geklasseerd als een Algemeen Nut Beogende Instelling (ANBI) kan de schenk- en erfbelasting op nihil gesteld worden. Dat geldt zowel voor ontvangen bedragen alsook voor betaalde giften aan derden. </t>
  </si>
  <si>
    <t>- 50% van het bedrag van de giften maar maximaal met € 2.500 (VPB), of</t>
  </si>
  <si>
    <t xml:space="preserve">Toegezegd-pensioen regelingen mogen worden verwerkt als toegezegd-bijdrageregelingen. </t>
  </si>
  <si>
    <t>RJ 640.524</t>
  </si>
  <si>
    <t>RJ 640.529</t>
  </si>
  <si>
    <t>Concernverhoudingen</t>
  </si>
  <si>
    <t>Een groepsmaatschappij behoort tot een economische eenheid waarin vennootschappen organisatorisch zijn verbonden met -volgens de wetsgeschiedenis- het element van centrale leiding.</t>
  </si>
  <si>
    <t>De consolidatieplicht rust op het hoofd van de groep (zie hiervoor).</t>
  </si>
  <si>
    <t>Financiële instrumenten</t>
  </si>
  <si>
    <t>Dit hoofdstuk behandelt de afgeleide financiële instrumenten. Primaire financiële instrumenten, zoals bijvoorbeeld, effecten, leasing, en vóór-inkoopcontracten worden in de betreffende hoofdstukken behandeld.</t>
  </si>
  <si>
    <t>RJ 290.502</t>
  </si>
  <si>
    <t>RJ 290.510 e.v.</t>
  </si>
  <si>
    <t>RJ 290.519</t>
  </si>
  <si>
    <t>RJ 290.515 e.v.</t>
  </si>
  <si>
    <t>RJ 290.520 e.v.</t>
  </si>
  <si>
    <t>RJ 290.518
RJ 290.521
RJ 290.522</t>
  </si>
  <si>
    <t>RJ 290.537a</t>
  </si>
  <si>
    <t>Waardering tegen actuele waarde is niet toegestaan voor de volgende (primaire) financiële instrumenten:</t>
  </si>
  <si>
    <t>- financiële instrumenten, waarvan de waarde niet betrouwbaar kan worden vastgesteld.</t>
  </si>
  <si>
    <t>RJ 240.207</t>
  </si>
  <si>
    <t>- er bij een derivaat kan worden afgewikkeld door een vast aantal eigenvermogensinstrumenten tegen een vast bedrag te ruilen.</t>
  </si>
  <si>
    <t xml:space="preserve">Bij het voldoen aan voorwaarden moeten in een contract besloten derivaten (embedded derivaten) worden gescheiden van het basiscontract. Dit geldt ook voor derivaten die niet tegen reële waarde worden gewaardeerd. Dan kan eventueel wel hedge-accounting worden toegepast. Er gelden ook geen vrijstellingen meer. </t>
  </si>
  <si>
    <t>Toelichting</t>
  </si>
  <si>
    <t>BW 2:384,5
RJ 290.906</t>
  </si>
  <si>
    <t>RJ 290.904</t>
  </si>
  <si>
    <t xml:space="preserve">De informatie over het rente-, kasstroom- en liquiditeitsrisico moet ook de effecten van hedge-instrumenten weergeven. </t>
  </si>
  <si>
    <t>RJ 122
BW 2:389,8</t>
  </si>
  <si>
    <t>TOELICHTING</t>
  </si>
  <si>
    <t>Daarnaast gelden regels voor risico’s in verband met toekomstige verkopen en voor de resultaten van een kasstroomhedge die direct in het eigen vermogen is verwerkt.</t>
  </si>
  <si>
    <t>Er is in de jurisprudentie een trend te onderkennen waarbij samenhangende activa en passiva gezamenlijk gewaardeerd moeten worden. Dit benadert de hedge-accounting-gedachte.</t>
  </si>
  <si>
    <t>De accountant brengt verslag uit aan de raad van commissarissen en het bestuur.</t>
  </si>
  <si>
    <t>Omloopsnelheden:</t>
  </si>
  <si>
    <t>Afzonderlijke vermelding is noodzakelijk indien de netto omzet per bedrijfstak of gebied meer dan 10% van het totaal bedraagt.</t>
  </si>
  <si>
    <t>Het verstrekken van aanvullende gesegmenteerde informatie wordt aanbevolen voor grote rechtspersonen. Deze wordt ontleend aan de interne informatie die aan het bestuur wordt voorgelegd. De wijze waarop het bestuur de activiteiten aanstuurt, en daarover informatie ontvangt, is leidend voor de vaststelling van de gesegmenteerde informatie.</t>
  </si>
  <si>
    <t>Informatie wordt opgenomen over elk operationeel segment, dat is geïdentificeerd volgens de criteria van RJ 350.304 of dat wordt samengevoegd met andere operationele segmenten en voldoet aan de kwantitatieve drempels voor te rapporteren segmenten.</t>
  </si>
  <si>
    <t>RJ 190.401</t>
  </si>
  <si>
    <t>BW 2:394,3</t>
  </si>
  <si>
    <t>BW 2:210,1</t>
  </si>
  <si>
    <t>BW 2:394,1</t>
  </si>
  <si>
    <t>BW 2:394,2</t>
  </si>
  <si>
    <t>De algemene vergadering wordt minimaal een keer per jaar gehouden.</t>
  </si>
  <si>
    <t xml:space="preserve">BW 2:108
BW 2:218 </t>
  </si>
  <si>
    <t>Grondslagen en uitgangspunten</t>
  </si>
  <si>
    <t>Voor ondernemingen, verenigingen en stichtingen</t>
  </si>
  <si>
    <t>Toelichting moet worden gegeven als:</t>
  </si>
  <si>
    <t>- wijze van bepaling van de actuele waarde (waaronder het gebruik van schattingen of indices)</t>
  </si>
  <si>
    <t>- inzake schattingen de wijze van taxatie of de aard van de gehanteerde indices</t>
  </si>
  <si>
    <t>a. kostprijs of lagere marktwaarde</t>
  </si>
  <si>
    <t>Indien ná balansdatum, maar vóór het opmaken van de jaarrekening, blijkt dat discontinuïteit onontkoombaar is,worden de gevolgen in de nog op te maken jaarrekening verwerkt.</t>
  </si>
  <si>
    <t>RJ 170.102</t>
  </si>
  <si>
    <t>- ofwel aan de herwaarderingsreserve onttrokken voor zover daarin nog opwaarderingen van het actief zijn begrepen</t>
  </si>
  <si>
    <t>Direct opeisbare kortlopende vorderingen in vreemde valuta worden gewaardeerd op de actuele koers op balansdatum.
Langlopende vorderingen worden gewaardeerd op historische kostprijs of lagere actuele koers op balansdatum. Goed koopmansgebruik staat ook toe om bij een hogere actuele koers op balansdatum te waarderen op deze hogere koers en daarmee een valutawinst in het resultaat tot uitdrukking te brengen.</t>
  </si>
  <si>
    <t>De bijzondere waardevermindering is het verschil tussen de boekwaarde en de realiseerbare waarde Die laatste is de hoogste van de opbrengstwaarde en de bedrijfswaarde.</t>
  </si>
  <si>
    <t>De bedrijfswaarde wordt bepaald door het schatten van de toekomstige kasstromen (waaronder de restwaarde), contant gemaakt tegen de disconteringsvoet (gebaseerd op de actuele marktrente en de specifieke risico's die met het actief gepaard gaan).</t>
  </si>
  <si>
    <t>- identificeerbaar (te onderscheiden van goodwill)</t>
  </si>
  <si>
    <t>- kosten zijn betrouwbaar vast te stellen</t>
  </si>
  <si>
    <t>- kostprijs minus afschrijvingen</t>
  </si>
  <si>
    <t>Totaal van de post</t>
  </si>
  <si>
    <t>a. kosten van oprichting en uitgifte van aandelen</t>
  </si>
  <si>
    <t>c. kosten van verwerking ter zake van concessies, vergunningen en rechten van intellectuele eigendom</t>
  </si>
  <si>
    <t>e. vooruitbetalingen op immateriële vaste activa.</t>
  </si>
  <si>
    <t>- boekwaarde begin boekjaar</t>
  </si>
  <si>
    <t>- investeringen (plus consolidaties)</t>
  </si>
  <si>
    <t>- desinvesteringen (plus deconsolidaties)</t>
  </si>
  <si>
    <t>- herwaarderingen</t>
  </si>
  <si>
    <t>- bijzondere waardeverminderingen en terugnemingen daarvan</t>
  </si>
  <si>
    <t>- afschrijvingen over het boekjaar</t>
  </si>
  <si>
    <t>Ontwikkelingskosten activeren indien het product technisch uitvoerbaar is en waarschijnlijk economische voordelen zal opleveren.</t>
  </si>
  <si>
    <t>Toelichten waarom de afschrijvingsduur langer dan 20 jaar is.</t>
  </si>
  <si>
    <t>- verkrijgings- of vervaarderingsprijs</t>
  </si>
  <si>
    <t>- een redelijk deel van de indirecte kosten</t>
  </si>
  <si>
    <t>- openingskosten van een nieuwe vestiging</t>
  </si>
  <si>
    <t>- overhead en administratiekosten</t>
  </si>
  <si>
    <t>b. machines en installaties</t>
  </si>
  <si>
    <t>c. andere vaste bedrijsmiddelen</t>
  </si>
  <si>
    <t>d. vaste activa in uitvoering en vooruitbetalingen</t>
  </si>
  <si>
    <t>e. niet aan het productieproces dienstbaar.</t>
  </si>
  <si>
    <t>- bijzondere waardeverminderingen</t>
  </si>
  <si>
    <t>- som der cumulatieve afschrijvingen</t>
  </si>
  <si>
    <t>Tot de kostprijs behoren alle kosten die nodig zijn om het goed van derden te betrekken, maar ook de kosten van bedrijfsklaar maken (inclusief het constante deel van de algemene kosten) en financieringskosten gemaakt voor het moment van aanschaf.</t>
  </si>
  <si>
    <t>Goed koopmansgebruik laat toe om de aanschaffingskosten te activeren vanaf het tijdstip waarop voor de verwerving van het bedrijfsmiddel verplichtingen zijn aangegaan.</t>
  </si>
  <si>
    <t>Hoge Raad 
23 mei 2014, nr. 13/00215</t>
  </si>
  <si>
    <t>- toegepaste grondslagen</t>
  </si>
  <si>
    <t>- huurinkomsten en directe exploitatiekosten</t>
  </si>
  <si>
    <t>- beperkingen in de aanwendbaarheid</t>
  </si>
  <si>
    <t>- waardering door onafhankelijke taxateur</t>
  </si>
  <si>
    <t>- financiële lease de voor en nadelen worden grotendeels gedragen door de lessee</t>
  </si>
  <si>
    <t>- leaseperiode is 75% of meer van de levensduur</t>
  </si>
  <si>
    <t>- eigendomsovergang aan het einde van de termijn</t>
  </si>
  <si>
    <t>- contante waarde van de leasetermijnen is 90% van de waarde</t>
  </si>
  <si>
    <t>- object is specifiek voor gebruik door lessee</t>
  </si>
  <si>
    <t>- bij opzegging wordt lessor voor het verlies gecompenseerd</t>
  </si>
  <si>
    <t>- vermelding van het bedrag van de voorwaardelijke leasebetalingen dat is verwerkt in de periode (lessee)</t>
  </si>
  <si>
    <t>a. zich als eigenaar gedraagt</t>
  </si>
  <si>
    <t>b. de juridische eigendom van het lease-object heeft</t>
  </si>
  <si>
    <t>Daarnaast krijgt de lessee recht op investeringsaftrek en subsidies. Als volgens de leaseregeling sprake is van operationele lease boekt de lessee de betaalde leasetermijnen af als kosten. De lessor kan het object dan activeren en hierover afschrijven. De lessor krijgt in principe geen investeringsaftrek omdat het ter beschikking stellen aan derden een uitsluitingsgrond is voor de investeringsaftrek. Dat geldt niet voor energie-investeringsaftrek, VAMIL e.d.</t>
  </si>
  <si>
    <t>Daarbij worden ook financiële instrumenten die potentiële stemrechten bevatten meegewogen. Uiteindelijk is de feitelijke situatie bepalend.</t>
  </si>
  <si>
    <t>RJ 217.202a</t>
  </si>
  <si>
    <t>RJ 217.203</t>
  </si>
  <si>
    <t>RJ 214.303</t>
  </si>
  <si>
    <t>a. aandelen in groepsmaatschappijen</t>
  </si>
  <si>
    <t>b. andere deelnemingen</t>
  </si>
  <si>
    <t>c. vorderingen op groepsmaatschappijen</t>
  </si>
  <si>
    <t>d. vorderingen op participanten en maatschappijen waarin wordt deelgenomen</t>
  </si>
  <si>
    <t>e. overige effecten</t>
  </si>
  <si>
    <t>- investeringen en desinvesteringen</t>
  </si>
  <si>
    <t>- aandeel in het resultaat van de deelneming</t>
  </si>
  <si>
    <t>- herwaarderingen en waardeverminderingen</t>
  </si>
  <si>
    <t>- vlottende belangen in niet geconsolideerde maatschappijen (toelichten onder effecten)</t>
  </si>
  <si>
    <t>- naam en woonplaats van groepshoofd</t>
  </si>
  <si>
    <t>- naam en woonplaats van consoliderende moeder</t>
  </si>
  <si>
    <t>- openstaande bedragen</t>
  </si>
  <si>
    <t>- rentevoet</t>
  </si>
  <si>
    <t>- belangrijkste bepalingen</t>
  </si>
  <si>
    <t>Bij zelf vervaardigde goederen wordt ook een redelijk deel van de indirecte kosten en, onder voorwaarden, rente betrokken in de waardering. Toerekening dient systematisch en consequent te geschieden.</t>
  </si>
  <si>
    <t>Waardering volgens de retail methode is in de detailhandel toegestaan. De kostprijs is de verkoopprijs verminderd met de brutowinst opslag. In de opslag wordt rekening gehouden met afgeprijsde voorraden.</t>
  </si>
  <si>
    <t>Totaal van de post voorraden</t>
  </si>
  <si>
    <t>a. grond- en hulpstoffen</t>
  </si>
  <si>
    <t>b. onderhanden werk</t>
  </si>
  <si>
    <t>d. vooruitbetalingen op voorraaden</t>
  </si>
  <si>
    <t>c. gereed product en handelsgoederen.</t>
  </si>
  <si>
    <t>a. kostprijs</t>
  </si>
  <si>
    <t>b. kostprijs of lagere marktwaarde, waaronder FIFO en gemiddelde prijzen</t>
  </si>
  <si>
    <t>c. substantialistische stelsels, die de actuele waarde van het verbruik bepalen.</t>
  </si>
  <si>
    <t>a. winstneming naar rato van de voortgang van het project (percentage of completionmethode)</t>
  </si>
  <si>
    <t>Indien het projectresultaat niet betrouwbaar kan worden geschat wordt geen winst genomen. Opbrengsten worden in de winst-en-verliesrekening verwerkt tot het bedrag van de projectkosten.</t>
  </si>
  <si>
    <t>In geval van het niet kunnen toepassen of van het verlaten van de percentage of completion-methode wordt de omzet maximaal verantwoord tot het bedrag van de te verhalen projectkosten. Met andere woorden: de winstneming is nihil of wordt teruggedraaid (zogeheten ‘zero profit -methode’).</t>
  </si>
  <si>
    <t>Kleine rechtspersonen mogen naar keuze methodes a of b toepassen.</t>
  </si>
  <si>
    <t>De duur van de overeenkomst brengt met zich mee dat dergelijke projecten worden verwerkt als financieel actief of als immaterieel actief.</t>
  </si>
  <si>
    <t>RJ 221.501</t>
  </si>
  <si>
    <t>RJ 221.507</t>
  </si>
  <si>
    <t>- gekochte leningen en obligaties.</t>
  </si>
  <si>
    <t>- vooruitbetaalde bedragen die ten laste van volgende perioden komen</t>
  </si>
  <si>
    <t>Daarna worden vorderingen gewaardeerd tegen de geamortiseerde kostprijs. Behoudens (dis-)agio en transactiekosten is dit de nominale waarde.</t>
  </si>
  <si>
    <t>Voor vorderingen die financiële instrumenten zijn, gelden specifieke regels voor de waardering (zie hoofdstuk waardering)</t>
  </si>
  <si>
    <t>Bij de voorziening voor oninbaarheid wordt de post-voor-postmethode gebruikt. Voor individueel niet-belangrijke vorderingen mag dit op collectief statische wijze gebeuren.</t>
  </si>
  <si>
    <t>- tot de vervaldag aan te houden activa (niet zijnde handelsportefeuille)</t>
  </si>
  <si>
    <t>- verstrekte leningen</t>
  </si>
  <si>
    <t>- belangen in dochtermaatschappijen</t>
  </si>
  <si>
    <t>Totaal van de post vorderingen.</t>
  </si>
  <si>
    <t>a. handelsdebiteuren</t>
  </si>
  <si>
    <t>b. groepsmaatschappijen</t>
  </si>
  <si>
    <t>c. deelnemingen</t>
  </si>
  <si>
    <t>d. maatschappijen die een deelneming in de vennootschap hebben</t>
  </si>
  <si>
    <t>e. opgevraagde kapitaalstortingen</t>
  </si>
  <si>
    <t>f. overige met vermelding van vorderingen op aandeelhouders</t>
  </si>
  <si>
    <t>De fiscale waardering is in grote lijnen gelijk aan de commerciële waardering. Opeisbare en volwaardige vorderingen worden gewaardeerd op nominale waarde.</t>
  </si>
  <si>
    <t>Een dynamische voorziening voor oninbaarheid is alleen toegestaan als een benadering van de waarde, indien een post-voor-post benadering te tijdrovend zou zijn.</t>
  </si>
  <si>
    <t>Renteloze vorderingen of vorderingen met een rente lager dan de geldende marktrente worden gewaardeerd op contante waarde als die waarde aanzienlijk lager is dan het nominale bedrag.</t>
  </si>
  <si>
    <t>- niet behorende tot de handelsportefeuille:</t>
  </si>
  <si>
    <t xml:space="preserve">                a. (beursgenoteerde) eigenvermogensinstrumenten (aandelen
                    en dergelijke)</t>
  </si>
  <si>
    <t xml:space="preserve">                b. (beursgenoteerde) gekochte leningen en obligaties.</t>
  </si>
  <si>
    <r>
      <t xml:space="preserve">a. </t>
    </r>
    <r>
      <rPr>
        <i/>
        <sz val="10"/>
        <color indexed="8"/>
        <rFont val="Arial"/>
        <family val="2"/>
      </rPr>
      <t>Handelsportefeuille:</t>
    </r>
    <r>
      <rPr>
        <sz val="10"/>
        <color indexed="8"/>
        <rFont val="Arial"/>
        <family val="2"/>
      </rPr>
      <t xml:space="preserve"> Aandelen en obligaties die deel uitmaken van een handelsportefeuille worden gewaardeerd tegen de reële waarde, met verwerking van waardeveranderingen in de resultatenrekening. Dat geldt zowel voor beursgenoteerde als niet-beursgenoteerde effecten.</t>
    </r>
  </si>
  <si>
    <t>- belangen in overige verbonden maatschappijen</t>
  </si>
  <si>
    <t>BW 2:372,1</t>
  </si>
  <si>
    <t>kasmiddelen, tegoeden bij banken, wissels en cheques, kortlopende deposito's.</t>
  </si>
  <si>
    <t>- gevolgen van stelselwijziging</t>
  </si>
  <si>
    <t>- goodwill bij verwerving van een deelneming</t>
  </si>
  <si>
    <t>De voorgestelde winstbestemming mag worden verwerkt (wet), maar de Richtlijnen bevelen dat niet aan. Het opnemen van het voorgestelde dividend als verplichting is wel toegestaan.</t>
  </si>
  <si>
    <t>- negatieve waarde deelneming</t>
  </si>
  <si>
    <t>- verschil m.b.t. vastgoedbelegging in dochtermaatschappij</t>
  </si>
  <si>
    <t>- geplaatst en gestort kapitaal</t>
  </si>
  <si>
    <t>- agio</t>
  </si>
  <si>
    <t>- herwaarderingsreserve</t>
  </si>
  <si>
    <t>- andere wettelijke reserves (gesplitst naar aard)</t>
  </si>
  <si>
    <t>- statutaire reserves</t>
  </si>
  <si>
    <t>- overige reserves</t>
  </si>
  <si>
    <t>- niet verdeelde winsten</t>
  </si>
  <si>
    <t>- ingehouden deel jaarwinst</t>
  </si>
  <si>
    <t>- winst van het boekjaar</t>
  </si>
  <si>
    <t>Verloopoverzichten, uitgesplitst naar deze indeling.</t>
  </si>
  <si>
    <t>- inbreng in natura zonder beschrijving of accountantsverklaring (alleen NV)</t>
  </si>
  <si>
    <t>- reserve tegenover uitgegeven leningen met het oog op het verkrijgen van aandelen in het kapitaal (alleen NV)</t>
  </si>
  <si>
    <t>- reserve nog niet uitgekeerde resultaten deelnemingen</t>
  </si>
  <si>
    <t>- reserve omrekenverschillen deelneming</t>
  </si>
  <si>
    <t>- herwaarderingsreserves</t>
  </si>
  <si>
    <t>- verschil wettelijk minimum en gestort aandelenkapitaal (nv).</t>
  </si>
  <si>
    <t>Realisatie van de herwaardering vindt plaats:
- door afschrijving op de geherwaardeerde activa
- door verkoop en ontvangst van de koopsom.</t>
  </si>
  <si>
    <t>- gecumuleerd resultaat</t>
  </si>
  <si>
    <t>-  geconsolideerd netto-resultaat</t>
  </si>
  <si>
    <t>a. het aantal opties begin boekjaar</t>
  </si>
  <si>
    <t>b. in het boekjaar verleende opties, met daarbij de uitoefenprijzen, aantal te verkrijgen aandelen en looptijd</t>
  </si>
  <si>
    <t>c. in het boekjaar uitgeoefende opties, met daarbij uitoefenprijzen, aantal aandelen, koers op uitoefenmoment, ingekochte en/of bijgeplaatste eigen aandelen</t>
  </si>
  <si>
    <t>- gewone winst per aandeel</t>
  </si>
  <si>
    <t>- de bedragen die gebruikt worden als teller</t>
  </si>
  <si>
    <t>Opname vindt plaats indien sprake is van een verplichting van onzekere omvang of onzeker tijdstip. Voor uitgaven die in een volgend boekjaar zullen worden gemaakt en die leiden tot gelijkmatige verdeling van lasten mag een voorziening worden gevormd (kostenegalisatievoorziening).</t>
  </si>
  <si>
    <t>Voorwaarde is dat de omvang weliswaar onzeker is maar wel betrouwbaar in te schatten. Voorwaarde is verder dat sprake moet zijn van een verplichting (feitelijk of in rechte afdwingbaar), waardoor een uitstroom van middelen zal plaatsvinden.</t>
  </si>
  <si>
    <t>RJ 220.205</t>
  </si>
  <si>
    <t>RJ 252.402</t>
  </si>
  <si>
    <t>- pensioenvoorzieningen</t>
  </si>
  <si>
    <t>- belastingvoorzieningen</t>
  </si>
  <si>
    <t>- omschrijving voorziening naar aard</t>
  </si>
  <si>
    <t>RJ 271.316</t>
  </si>
  <si>
    <t>Wanneer de fiscale waardering niet materieel afwijkt van de ‘beste schatting’ mag de fiscale berekening wel worden gehanteerd.</t>
  </si>
  <si>
    <t>- de uitvoeringsovereenkomst</t>
  </si>
  <si>
    <t>- nog niet verwerkte past servicelasten (backservice)</t>
  </si>
  <si>
    <t>- dekkingsgraad van het fonds</t>
  </si>
  <si>
    <t>- beleggingen in de werkgever</t>
  </si>
  <si>
    <t>- verloopoverzicht van de balansposten</t>
  </si>
  <si>
    <t>- gehanteerde grondslagen en veronderstellingen</t>
  </si>
  <si>
    <t>Pensioenen die zijn toegezegd en die niet zijn verzekerd, dienen in een voorziening te worden opgenomen. Voor pensioentoekenningen aan de dga geldt een zakelijkheidstoets.</t>
  </si>
  <si>
    <t>- contante waarde van de verplichtingen min premies</t>
  </si>
  <si>
    <t>Voorziening latente belastingvoorziening (actief en passief)</t>
  </si>
  <si>
    <t>- het bedrag van de nominale waarde</t>
  </si>
  <si>
    <t>RJ 271.5</t>
  </si>
  <si>
    <t>- kosten activeren en afschrijven</t>
  </si>
  <si>
    <t>- jaarlijkse dotaties, vermelding van de totale verwachte kosten</t>
  </si>
  <si>
    <t>Voorziening overheidsheffingen</t>
  </si>
  <si>
    <t>a. deel van handelsportefeuille: reële waarde</t>
  </si>
  <si>
    <t>- vooruitontvangen op bestelling</t>
  </si>
  <si>
    <t>- leveranciers en handelskredieten</t>
  </si>
  <si>
    <t>- te betalen wissels en cheques</t>
  </si>
  <si>
    <t>- groepsmaatschappijen</t>
  </si>
  <si>
    <t>- participanten en maatschappijen waarin wordt deelgenomen</t>
  </si>
  <si>
    <t>- belastingen en sociale verzekeringen</t>
  </si>
  <si>
    <t>- pensioenen</t>
  </si>
  <si>
    <t>- rentevoet langlopende schulden</t>
  </si>
  <si>
    <t>- aansprakelijkheid uit hoofde van fiscale eenheid</t>
  </si>
  <si>
    <t>- verplichtingen door deelname aan een coöperatieve vereniging</t>
  </si>
  <si>
    <t>- verplichtingen uit hoofde van ketenaansprakelijkheid</t>
  </si>
  <si>
    <t>BW 2.376</t>
  </si>
  <si>
    <t>- off balance financiering</t>
  </si>
  <si>
    <t>- verplichtingen waarvan zowel de prestatie als de tegenprestatie nog moet worden geleverd</t>
  </si>
  <si>
    <t>- materiële vaste activa in bestelling</t>
  </si>
  <si>
    <t>- de methode van toerekening aan de perioden</t>
  </si>
  <si>
    <t>- de splitsing van de bedragen van de opbrengsten over elk van de belangrijke categorieën</t>
  </si>
  <si>
    <t>- Geactiveerde productie eigen bedrijf</t>
  </si>
  <si>
    <t>- Overige bedrijfsopbrengsten</t>
  </si>
  <si>
    <t>- Kosten van grond en hulpstoffen</t>
  </si>
  <si>
    <t>RJ 271.209</t>
  </si>
  <si>
    <t>Het bedrag voor bestuurders en commissarissen dient onder de presentatie van de bezoldiging te worden meegenomen.</t>
  </si>
  <si>
    <t>- op immateriële vaste activa</t>
  </si>
  <si>
    <t>- van immateriële vaste activa</t>
  </si>
  <si>
    <t>Honorarium accountant</t>
  </si>
  <si>
    <t>BW 2:382.a
RJ 390.301</t>
  </si>
  <si>
    <t>Algemene beheerkosten</t>
  </si>
  <si>
    <t>- opbrengsten van vorderingen die tot de vaste activa behoren en van effecten</t>
  </si>
  <si>
    <t>- andere rentebaten en soortgelijke opbrengsten</t>
  </si>
  <si>
    <t>- waardeveranderingen van vorderingen die tot de vaste activa en van effecten</t>
  </si>
  <si>
    <t>- verhouding groepsmaatschappijen</t>
  </si>
  <si>
    <t>- resultaat uit gewone bedrijfsuitoefening voor belastingen</t>
  </si>
  <si>
    <t>- belastingen resultaat uit gewone bedrijfsuitoefening</t>
  </si>
  <si>
    <t>- resultaat deelnemingen (dit mag ook voorafgaan aan alle financiële baten en lasten (art. 6.1 BMJ)</t>
  </si>
  <si>
    <t>- resultaat uit gewone bedrijfsuitoefening na belastingen</t>
  </si>
  <si>
    <t>- moeder neemt alle belastingen voor haar rekening</t>
  </si>
  <si>
    <t>- het effectieve en toepasselijke belastingtarief</t>
  </si>
  <si>
    <t>- de afwijking van het effectieve en toepasselijke belastingtarief ten opzichte van de voorafgaande periode</t>
  </si>
  <si>
    <t>- tijdelijke verschillen waarvoor geen latenties zijn opgenomen</t>
  </si>
  <si>
    <t>- afzonderlijke vermelding van de belastinglast van niet duurzaam voortgezette activiteiten</t>
  </si>
  <si>
    <t>- de gevolgen voor de verschuldigde belasting van voorgestelde of gedeclareerde dividenden</t>
  </si>
  <si>
    <t>- er planmatig een activiteit wordt verkocht of stopgezet</t>
  </si>
  <si>
    <t>- de activiteit een belangrijk geografisch gebied of groep afnemers betreft</t>
  </si>
  <si>
    <t>- tijdsplan</t>
  </si>
  <si>
    <t>- boekwaarde van de af te stoten activa</t>
  </si>
  <si>
    <t>- huidige kasstromen uit de te beëindigen activiteit</t>
  </si>
  <si>
    <t>- verkoopprijs en boekwinst van de betrokken activa</t>
  </si>
  <si>
    <t>- grote rechtspersonen gesegmenteerde informatie</t>
  </si>
  <si>
    <t>RJk B18.2</t>
  </si>
  <si>
    <t>- doelstelling van de onderneming</t>
  </si>
  <si>
    <t>- kernactiviteiten belangrijke producten geografische gebieden en eventueel afnemerscategorieën</t>
  </si>
  <si>
    <t>- juridische structuur</t>
  </si>
  <si>
    <t>- interne organisatiestructuur en personele bezetting</t>
  </si>
  <si>
    <t>- de ontwikkeling gedurende het boekjaar</t>
  </si>
  <si>
    <t>- de behaalde omzet en resultaten</t>
  </si>
  <si>
    <t>- de toestand op balansdatum (solvabiliteit en liquiditeit)</t>
  </si>
  <si>
    <t>- de voornaamste risico's en onzekerheden</t>
  </si>
  <si>
    <t>Deze risico’s betreffen in ieder geval de categorieën strategie, operationele activiteiten, financiële positie, financiële verslaggeving en wet- en regelgeving</t>
  </si>
  <si>
    <t>- algemene aspecten</t>
  </si>
  <si>
    <t>- milieu aspecten</t>
  </si>
  <si>
    <t>- sociale aspecten</t>
  </si>
  <si>
    <t>- economische aspecten</t>
  </si>
  <si>
    <t>- marketing en distributie</t>
  </si>
  <si>
    <t>- interne beheersing van processen en procedures</t>
  </si>
  <si>
    <t>- risicomanagement</t>
  </si>
  <si>
    <t>- kwaliteitsbeheersing</t>
  </si>
  <si>
    <t>- informatievoorziening in- en extern</t>
  </si>
  <si>
    <t>- de investeringen</t>
  </si>
  <si>
    <t>- de financiering</t>
  </si>
  <si>
    <t>- de personeelsbezetting</t>
  </si>
  <si>
    <t>a. de controleverklaring of een mededeling waarom deze ontbreekt</t>
  </si>
  <si>
    <t>b. een weergave van de statutaire regeling omtrent de bestemming van de winst</t>
  </si>
  <si>
    <t>JAARREKENING</t>
  </si>
  <si>
    <t>- aansluiting tussen de bruto investering in de lease en de contante waarde van de minimale leasebetalingen</t>
  </si>
  <si>
    <t>a. lonen en salarissen</t>
  </si>
  <si>
    <t>b. pensioenlasten</t>
  </si>
  <si>
    <t>a. de rechtspersoon heeft een overeenkomst gesloten tot verkoop van alle of nagenoeg alle activa van deze bedrijfsactiviteit of</t>
  </si>
  <si>
    <t>- de afwijking van het effectieve en toepasselijke belastingtarief ten opzichte van de voorafgaande periode</t>
  </si>
  <si>
    <t>- tijdelijke verschillen waarvoor geen latenties zijn opgenomen</t>
  </si>
  <si>
    <t>- afzonderlijke vermelding van de belastinglast van niet duurzaam voortgezette activiteiten</t>
  </si>
  <si>
    <t>- de gevolgen voor de verschuldigde belasting van voorgestelde of gedeclareerde dividenden</t>
  </si>
  <si>
    <t>- kredietrisico (voor middelgrote rechtspersonen aanbevolen)</t>
  </si>
  <si>
    <t>RJ 345.304, f</t>
  </si>
  <si>
    <t>- andere controleopdrachten</t>
  </si>
  <si>
    <t>- liquiditeit</t>
  </si>
  <si>
    <t>- solvabiliteit</t>
  </si>
  <si>
    <t>- grootte en samenstelling van het resultaat</t>
  </si>
  <si>
    <t>- arbeidsbeloning voor de ondernemer</t>
  </si>
  <si>
    <t>- belastingen naar de winst</t>
  </si>
  <si>
    <t>- latente belastingverplichtingen</t>
  </si>
  <si>
    <t>Een stichting of vereniging die uit hoofde van een wettelijke bepaling verplicht is om een jaarrekening op te maken en openbaar te maken die gelijkwaardig is aan een jaarrekening overeenkomstig Titel 9 Boek 2 BW, betrekt de hiervoor genoemde bepalingen inzake handelsregister en omzet niet in de afweging.</t>
  </si>
  <si>
    <t>Vervolgens zijn de regels en vrijstellingen analoog aan de groottecriteria voor klein en middelgroot. Voor de bepaling van het regime geldt:</t>
  </si>
  <si>
    <t>- netto omzet betreft de ondernemingsactiviteiten</t>
  </si>
  <si>
    <t>- aantal werknemers betreft de werknemers bij het ondernemingsdeel</t>
  </si>
  <si>
    <t>- balanstotaal betreft het totaal van de activa van de stichting of vereniging.</t>
  </si>
  <si>
    <t>RJ 271.7</t>
  </si>
  <si>
    <t>RJ 640
RJk C1</t>
  </si>
  <si>
    <t>- subsidiebaten</t>
  </si>
  <si>
    <t>- sponsorbijdragen</t>
  </si>
  <si>
    <t>- financiële baten</t>
  </si>
  <si>
    <t>- inkoopwaarde van de geleverde producten</t>
  </si>
  <si>
    <t>- personeelskosten</t>
  </si>
  <si>
    <t>- afschrijvingen op vaste activa</t>
  </si>
  <si>
    <t>- verstrekte subsidies en giften</t>
  </si>
  <si>
    <t>- financiële lasten</t>
  </si>
  <si>
    <t>RJk B6.103</t>
  </si>
  <si>
    <t>RJk B5.101</t>
  </si>
  <si>
    <t>RJk B14.112</t>
  </si>
  <si>
    <t>RJk C1.401</t>
  </si>
  <si>
    <t>RJ 217.202a
RJ 217.203</t>
  </si>
  <si>
    <t>RJ 217.503</t>
  </si>
  <si>
    <t>Alleen bij joint-venture-verhoudingen waarbij het inzichtvereiste wordt gediend mag proportioneel worden geconsolideerd.</t>
  </si>
  <si>
    <t>RJ 216.503
RJ 214.343</t>
  </si>
  <si>
    <t>Rechtstreekse buitenlandse activiteiten worden omgerekend naar de presentatievaluta. De balansposten worden omgerekend tegen koers per balansdatum en baten en lasten tegen koers ten tijde van het aangaan van de transactie. Omrekeningsverschillen worden via de reserve omrekeningsverschillen verwerkt.</t>
  </si>
  <si>
    <t>RJ 260.104</t>
  </si>
  <si>
    <t>- lijst met deelnemingen</t>
  </si>
  <si>
    <t>- bezoldigingen van en leningen aan bestuurders en commissarissen</t>
  </si>
  <si>
    <t>- vormen van reserve ingehouden winsten van deelnemingen</t>
  </si>
  <si>
    <t>BW 2:408,4
RJ 217.214a</t>
  </si>
  <si>
    <t>- consolidatievrijstelling als de te consolideren maatschappij van te verwaarlozen betekenis is voor het geheel</t>
  </si>
  <si>
    <t>- consolidatievrijstelling als de gegevens van de te consolideren maatschappij slechts tegen onevenredige kosten of met grote vertraging te verkrijgen zijn</t>
  </si>
  <si>
    <t>- primair: activa of passiva die rechten op werkelijke zaken vertegenwoordigen, zoals vorderingen, schulden en aandelen</t>
  </si>
  <si>
    <t>Waardeveranderingen worden direct in de resultaten opgenomen, behoudens wanneer de waardeverandering in een andere periode valt dan die van de af te dekken post.</t>
  </si>
  <si>
    <t xml:space="preserve">   c. onderliggende waarden zijn niet beursgenoteerd: reële waarde of kostprijs.</t>
  </si>
  <si>
    <t xml:space="preserve">   b. onderliggende waarden zijn beursgenoteerd: reële waarde</t>
  </si>
  <si>
    <t xml:space="preserve">   a. aangehouden tot aflossing: geamortiseerde kostprijs</t>
  </si>
  <si>
    <t xml:space="preserve">   b. overige: reële waarde of geamortiseerde kostprijs</t>
  </si>
  <si>
    <t xml:space="preserve">    a. beursgenoteerd: reële waarde</t>
  </si>
  <si>
    <t xml:space="preserve">    b. niet beursgenoteerd: kostprijs of reële waarde.</t>
  </si>
  <si>
    <t>- verstrekte leningen (geen handelsportefeuille)</t>
  </si>
  <si>
    <t>- er geen verplichting is liquide middelen dan wel financiële instrumenten te leveren of financiële instrumenten te ruilen tegen potentieel nadelige voorwaarden</t>
  </si>
  <si>
    <t>- er bij afwikkeling een verplichting is een vast aantal eigenvermogensinstrumenten te leveren</t>
  </si>
  <si>
    <t xml:space="preserve">RJ 290.827 </t>
  </si>
  <si>
    <t>In de toelichting moeten grondslagen van waardering en resultaatbepaling en voorwaarden worden vermeld:</t>
  </si>
  <si>
    <t>Aanbevolen wordt de mate van gebruik, de daaraan verbonden risico’s en de bedrijfsdoeleinden uiteen te zetten. Dit kan betreffen het beleid van hedgen van risico’s, het vermijden van concentraties van risico’s en het verkrijgen van onderpanden om risico’s te beperken.</t>
  </si>
  <si>
    <t>RJ 290.901</t>
  </si>
  <si>
    <t>De vereiste toelichting is afhankelijk van het grootte-regime. Niettemin beveelt de RJ aan ongeacht het regime toelichting te geven over:</t>
  </si>
  <si>
    <t>RJ 290.937</t>
  </si>
  <si>
    <t>ledere belanghebbende kan de nakoming vorderen van de verplichting een accountant te benoemen.</t>
  </si>
  <si>
    <t>- of de jaarrekening het in artikel BW 2:362,1 lid 1 BW vereiste inzicht geeft</t>
  </si>
  <si>
    <t>- of de jaarrekening aan de bij en krachtens de wet gestelde voorschriften voldoet</t>
  </si>
  <si>
    <t>BW 2:403,3</t>
  </si>
  <si>
    <t>- een beschrijving van de reikwijdte van het onderzoek</t>
  </si>
  <si>
    <t>- een oordeel of de jaarrekening het vereiste inzicht geeft en aan de bij en krachtens de wet gestelde regels voldoet</t>
  </si>
  <si>
    <t>- een verwijzing naar bepaalde zaken waarop de accountant in het bijzonder de aandacht vestigt zonder een beperking in de verklaring op te nemen</t>
  </si>
  <si>
    <t>Het bestuur van de rechtspersoon en de accountant zijn verplicht de Stichting Autoriteit Financiële Markten onverwijld in kennis te stellen van de intrekking van de (wettelijke controle-)opdracht door de rechtspersoon of tussentijdse beëindiging ervan door de accountant met daarbij een afdoende motivering.</t>
  </si>
  <si>
    <t>Gecontroleerde rechtspersonen moeten in hun jaarrekening een opgave verstrekken van de honoraria voor door de externe accountant en de accountantsorganisatie verrichte werkzaamheden. Hierbij wordt onderscheid gemaakt tussen:</t>
  </si>
  <si>
    <t>- controle van de jaarrekening</t>
  </si>
  <si>
    <t>- adviesdiensten op fiscaal terrein</t>
  </si>
  <si>
    <t>RJ 390.301</t>
  </si>
  <si>
    <t>RJ 390.301a</t>
  </si>
  <si>
    <t>winst voor belasting en rente/eigen vermogen +
rentedragend vreemd vermogen</t>
  </si>
  <si>
    <t>Aansprakelijk vermogen = het vermogen dat voor vreemdvermogensverschaffers aanwezig is als buffer.</t>
  </si>
  <si>
    <t>- bedrijfstakken</t>
  </si>
  <si>
    <t>Voor zover het maken van kopieën uit deze uitgave is toegestaan op grond van art. 16h t/m 16m Auteurswet jo. Besluit van 27 november 2002, Stb. 575,
dient men de daarvoor wettelijk verschuldigde vergoeding te voldoen aan de Stichting Reprorecht te Hoofddorp (Postbus 3051, 2130 KB).</t>
  </si>
  <si>
    <t>BW 2:395a,7
BW 2:396,6</t>
  </si>
  <si>
    <t xml:space="preserve">Fiscaal is toegestaan de verkrijgings- of vervaardigingsprijs of lagere bedrijfswaarde. </t>
  </si>
  <si>
    <t>Grenzen groot, middelgroot, klein en micro</t>
  </si>
  <si>
    <t>BW 2:397,1</t>
  </si>
  <si>
    <t>gemiddeld aantal werknemers &gt; 10, &lt; 50</t>
  </si>
  <si>
    <t>Micro</t>
  </si>
  <si>
    <t>gemiddeld aantal werknemers &lt; 10</t>
  </si>
  <si>
    <t>BW 2:395a</t>
  </si>
  <si>
    <t>De realiseerbare waarde wordt voor het individuele actief bepaald. Als dit niet mogelijk is wordt de realiseerbare waarde bepaald van de kasstroomgenererende eenheid waartoe het actief behoort.</t>
  </si>
  <si>
    <t>RJ 121.501</t>
  </si>
  <si>
    <t>De vergelijkende cijfers worden aangepast.</t>
  </si>
  <si>
    <t>FOUTHERSTEL</t>
  </si>
  <si>
    <t>Stelselwijziging, schattingswijziging, foutherstel</t>
  </si>
  <si>
    <t>Dit geldt eveneens voor opgenomen meerjarenoverzichten, tenzij dit praktisch niet mogelijk is.</t>
  </si>
  <si>
    <t>RJ 150.206</t>
  </si>
  <si>
    <t>De afschrijvingstermijn en –methode dienen ten minste aan het eind van elk boekjaar opnieuw te worden bezien.</t>
  </si>
  <si>
    <t>b. kosten van ontwikkeling</t>
  </si>
  <si>
    <t>d. goodwill verkregen van derden</t>
  </si>
  <si>
    <t>BW 2:384,5
BW 2:386,2</t>
  </si>
  <si>
    <t>Kosten van ontwikkeling</t>
  </si>
  <si>
    <t>BW 2:365,1b
RJ 210.221</t>
  </si>
  <si>
    <t>Wet: ter hoogte van de geactiveerde kosten wordt een reserve aangehouden.</t>
  </si>
  <si>
    <t>BW 2:365,2
BW 2:368,1</t>
  </si>
  <si>
    <t>De redenen dat de gebruiksduur niet betrouwbaar kan worden geschat worden toegelicht</t>
  </si>
  <si>
    <t>De geactiveerde kosten en het verloop worden toegelicht.</t>
  </si>
  <si>
    <t>Afschrijving volgens de wet naargelang de verwachte gebruiksduur, tenzij de gebruiksduur niet op betrouwbare wijze kan worden vastgesteld. Dan afschrijving in maximaal 10 jaar onder vermelding van de redenen hiervan.</t>
  </si>
  <si>
    <t>Terugneming van duurzame waardevermindering is voor goodwill niet toegestaan.</t>
  </si>
  <si>
    <t>De redenen dat de gebruiksduur niet betrouwbaar kan worden geschat, worden toegelicht</t>
  </si>
  <si>
    <t>- welke activa als zekerheid dienen voor verplichtingen voor het totaal van de in BW 2:375,1 genoemde schulden.</t>
  </si>
  <si>
    <t>Bij waardering op kostprijs kan het voor het te geven inzicht noodzakelijk zijn de actuele waarde in de toelichting op te nemen.</t>
  </si>
  <si>
    <t>andere materiële vaste activa: maximale afschrijving per jaar 20% van de historische kostprijs</t>
  </si>
  <si>
    <t>Rentelasten worden zodanig toegerekend dat dit resulteert in een constante periodieke rentevoet (annuïtaire toerekening), dan wel een praktische benadering daarvan.</t>
  </si>
  <si>
    <t>Bij de financiële leaseverplichting wordt het totaalbedrag van de verplichting langer dan 1 jaar toegelicht (en voor het totaal aan schulden het bedrag langer dan 5 jaar)..</t>
  </si>
  <si>
    <t>- aansluiting tussen de bruto-investering in de lease en de contante waarde van de minimale leasebetalingen (lessor)</t>
  </si>
  <si>
    <t>In dit hoofdstuk wordt de waardering in de enkelvoudige jaarrekening behandeld Voor consolidatie wordt verwezen naar het hoofdstuk Concernverhoudingen.</t>
  </si>
  <si>
    <t>Naast stemrechten worden ook ander rechten meegenomen, zoals beschermingsrechten.</t>
  </si>
  <si>
    <t>Ook bij deelnemingen worden financiële instrumenten die potentiële stemrechten betreffen meegewogen en is de feitelijke situatie bepalend.</t>
  </si>
  <si>
    <t>b. andere methoden.</t>
  </si>
  <si>
    <t>Ad a: netto-vermogenswaarde:</t>
  </si>
  <si>
    <t>a. netto-vermogenswaarde</t>
  </si>
  <si>
    <t>RJ 214.305
RJ 214.342</t>
  </si>
  <si>
    <t>RJ 214.701</t>
  </si>
  <si>
    <t>Ad b: andere methoden:</t>
  </si>
  <si>
    <t>Andere methoden mogen worden gehanteerd, indien onvoldoende informatie beschikbaar is om de netto-vermogenswaarde te bepalen.</t>
  </si>
  <si>
    <t>Ander aspecten van waardering:</t>
  </si>
  <si>
    <t>Verwateringswinsten (of -verliezen) mogen naar keuze in het vermogen of het resultaat worden verwerkt.</t>
  </si>
  <si>
    <t>Goodwill in deelnemingen komt naar voren bij toepassing van de vermogensmutatiemethode.</t>
  </si>
  <si>
    <t>Goodwill is een betaling voor verwachte economische voordelen door synergie-effecten of van activa die individueel niet kwalificeren voor activering.</t>
  </si>
  <si>
    <t>RJ 216.219</t>
  </si>
  <si>
    <r>
      <t xml:space="preserve">- afboeken ten laste van het eigen vermogen of het resultaat is </t>
    </r>
    <r>
      <rPr>
        <b/>
        <sz val="10"/>
        <color indexed="8"/>
        <rFont val="Arial"/>
        <family val="2"/>
      </rPr>
      <t>niet</t>
    </r>
    <r>
      <rPr>
        <sz val="10"/>
        <color indexed="8"/>
        <rFont val="Arial"/>
        <family val="2"/>
      </rPr>
      <t xml:space="preserve"> toegestaan</t>
    </r>
  </si>
  <si>
    <t>Bij verkoop binnen 5 jaar dient de in het verleden ten laste van het vermogen gebrachte goodwill pro rata te worden teruggeboekt.</t>
  </si>
  <si>
    <t>RJ 214.341a</t>
  </si>
  <si>
    <t>Derivaten worden in beginsel gewaardeerd op reële waarde. In geval van hedging komt ook kostprijs in aanmerking.</t>
  </si>
  <si>
    <t>- afgewaardeerde bedragen en bedragen waarvan werd afgezien.</t>
  </si>
  <si>
    <t>- aflossingen in het boekjaar</t>
  </si>
  <si>
    <t>RJ 221.401</t>
  </si>
  <si>
    <t>BW2:396,4
BW2:397,3</t>
  </si>
  <si>
    <t>RJ 221.405</t>
  </si>
  <si>
    <t>Bij het toepassen van de fiscale waarderingsgrondslagen voor de kleine rechtspersoon zal de keuze voor de winstneming bij oplevering dus niet aan de orde komen. Kleine rechtspersonen zonder projectadministratie mogen met een gemiddelde winstopslag rekenen.</t>
  </si>
  <si>
    <t>g. binnen 1 jaar opeisbare aflossing van financiële vaste activa.</t>
  </si>
  <si>
    <t>2. belangrijke niet in de balans opgenomen regelingen</t>
  </si>
  <si>
    <t>3. niet verwerkte activa die niet zijn opgenomen omdat</t>
  </si>
  <si>
    <t>Vermeld wordt tot welke voorwaardelijke activa de rechtspersoon is verbonden.</t>
  </si>
  <si>
    <t>Inkoop eigen aandelen moet in mindering worden gebracht op het eigen vermogen (niet zijnde het kapitaal) totdat de aandelen zijn ingetrokken. Dat geldt ook voor inkoop door een dochter.</t>
  </si>
  <si>
    <t>- opgesteld voor of na voorgestelde winstbestemming</t>
  </si>
  <si>
    <t>- verloop eigen aandelen (evt. via dochter)</t>
  </si>
  <si>
    <t>- wijze van storting in het jaar</t>
  </si>
  <si>
    <t>- storting op aandelen anders dan geld in het boekjaar</t>
  </si>
  <si>
    <t>- aantal geplaatste aandelen en bedrag per soort</t>
  </si>
  <si>
    <t>- aantal en bedrag tijdens boekjaar geplaatste aandelen</t>
  </si>
  <si>
    <t>- aantal en bedrag gehouden eigen aandelen (incl. dochtermaatschappijen)</t>
  </si>
  <si>
    <t xml:space="preserve">Uiteenzetten van bijzondere statutaire zeggenschapsrechten in de overige gegevens. </t>
  </si>
  <si>
    <t>BW 2:392,1d</t>
  </si>
  <si>
    <t>- geactiveerde oprichtingskosten en geactiveerde kosten van ontwikkeling</t>
  </si>
  <si>
    <t>BW 2:389,8</t>
  </si>
  <si>
    <t>- kosten voor oprichting of uitgifte van aandelen</t>
  </si>
  <si>
    <t>- kosten voor ontwikkeling</t>
  </si>
  <si>
    <t>- niet uitgekeerde winst deelnemingen, voor zover uitkering beperkt is</t>
  </si>
  <si>
    <t>- inbreng anders dan in geld (nv)</t>
  </si>
  <si>
    <t>Vermeerdering van de netto-vermogenswaarde als gevolg van herwaardering activa bij deelnemingen mag ook bij de moeder worden behandeld als herwaarderingsreserve van vaste activa.</t>
  </si>
  <si>
    <t>Het groepsvermogen wordt onderscheiden in:
- eigen vermogen
- aandeel derden.</t>
  </si>
  <si>
    <t>De pensioenvoorziening dga wordt gewaardeerd op basis van een in Nederland algemeen aanvaarde actuariële methodiek. Uitgangspunt daarbij is de ‘beste schatting’ van de variabelen die de omvang van de uitgaven ter afwikkeling van de verplichting bepalen.</t>
  </si>
  <si>
    <t>Vermelding van de pensioenlast.</t>
  </si>
  <si>
    <t>De opbouw van toegezegde pensioenen moet volgens een actuariële methode plaatsvinden, waarbij moet worden uitgegaan van de meest recente sterftetabellen. Er mag geen rekening worden gehouden met toekomstige stijging van lonen en prijzen, tenzij de premies daarvan zijn betaald aan een derde. De rekenrente bij de waardering van pensioenverplichtingen dient ten minste 4% te bedragen.</t>
  </si>
  <si>
    <t xml:space="preserve">Een verplichting voor ontslagvergoedingen wordt opgenomen als de rechtspersoon aantoonbaar onvoorwaardelijk is verbonden de vergoeding te betalen. </t>
  </si>
  <si>
    <t>Een vergoeding voor ontslag als onderdeel van een reorganisatie wordt opgenomen in een reorganisatievoorziening.</t>
  </si>
  <si>
    <t>Een verplichting  die geheel vaststaat wordt onder de schulden opgenomen.</t>
  </si>
  <si>
    <t>RJ 271.503</t>
  </si>
  <si>
    <t>RJ 271.507</t>
  </si>
  <si>
    <t>Voor overheidsheffingen anders dan belastingen zijn twee wijzen van verwerking mogelijk:
- in de periode waarop de heffing betrekking heeft
- wanneer aan alle voorwaarden voor de heffing wordt voldaan.</t>
  </si>
  <si>
    <t>RJ 252.429</t>
  </si>
  <si>
    <t>Waardering:</t>
  </si>
  <si>
    <t>b. derivaten: kostprijs of reële waarde</t>
  </si>
  <si>
    <t>Financiële instrumenten die dienen ter afdekking van risico's in bepaalde passiva of activa worden zodanig verwerkt, dat de waardeverandering in dezelfde periode vallen als de waardeverandering van de af te dekken risico's (hedge-accounting).</t>
  </si>
  <si>
    <t>- obligatieleiningen, pandbrieven en andere leningen met afzonderlijke vermelding van converteerbare leningen</t>
  </si>
  <si>
    <t>- schulden aan banken</t>
  </si>
  <si>
    <t>Voor het totaal van de afzonderlijk te vermelden groepen wordt aangegeven welke zakelijke zekerheid is verstrekt en in welke vorm.</t>
  </si>
  <si>
    <r>
      <t xml:space="preserve">Voor alle schulden </t>
    </r>
    <r>
      <rPr>
        <sz val="10"/>
        <color indexed="8"/>
        <rFont val="Arial"/>
        <family val="2"/>
      </rPr>
      <t>wordt vermeld het bedrag waarvoor toezeggingen zijn gedaan tot het bezwaren respectievelijk niet bezwaren</t>
    </r>
    <r>
      <rPr>
        <u/>
        <sz val="10"/>
        <color indexed="8"/>
        <rFont val="Arial"/>
        <family val="2"/>
      </rPr>
      <t>.</t>
    </r>
  </si>
  <si>
    <t>BW 2:375,4</t>
  </si>
  <si>
    <t>BW 2:375,7</t>
  </si>
  <si>
    <t>Overige toelichtingen</t>
  </si>
  <si>
    <t>Dit zijn:</t>
  </si>
  <si>
    <t>1. belangrijke financiële verplichtingen waaraan de rechtspersoon voor een aantal toekomstige jaren is verbonden. Verplichtingen jegens groepsmaatschappijen worden afzonderlijk vermeld. Ook vermelding van de gestelde zekerheden en van de verbondenheid om al dan niet te bezwaren</t>
  </si>
  <si>
    <t>2. voorwaardelijke verplichtingen, onder opschortende of ontbindende voorwaarde, en niet verwerkte verplichtingen (omdat omvang niet voldoende betrouwbaar geschat kan worden)</t>
  </si>
  <si>
    <t>3. regelingen voor zover vermelding van belang is voor de beoordeling door de gebruiker.</t>
  </si>
  <si>
    <t>BW 2:381,1
RJ 252.207</t>
  </si>
  <si>
    <r>
      <t>Dus ook verplichtingen waarvan de omvang niet voldoende betrouwbaar kan worden geschat.</t>
    </r>
    <r>
      <rPr>
        <sz val="8"/>
        <rFont val="Times New Roman"/>
        <family val="1"/>
      </rPr>
      <t> </t>
    </r>
  </si>
  <si>
    <t>Kleine rechtspersonen zijn vrijgesteld van vermelding.</t>
  </si>
  <si>
    <t>Voorbeelden:</t>
  </si>
  <si>
    <t>BW 2:403,1f</t>
  </si>
  <si>
    <t>- garantie verstrekt aan bestudeerders, commissarissen en/of dochtermaatschappijen</t>
  </si>
  <si>
    <t>- afzonderlijk vermelden de verplichtingen ten behoeve van groepsmaatschappijen</t>
  </si>
  <si>
    <t>BW 2:383,2
RJ 252.517</t>
  </si>
  <si>
    <t>- vermelden gestelde zekerheden voor het totaal van de in BW 2:375,1 vermelde groepen</t>
  </si>
  <si>
    <t xml:space="preserve">De winst-en-verliesrekening omvat drie hoofdcategorieën </t>
  </si>
  <si>
    <t>a. bedrijfsresultaat (voor en na belastingen)</t>
  </si>
  <si>
    <t>b. overige belastingen</t>
  </si>
  <si>
    <t>c. resultaat na belastingen</t>
  </si>
  <si>
    <t>- Netto-omzet</t>
  </si>
  <si>
    <t>- Wijziging voorraad gereed product en onderhanden werk ten opzichte van de voorafgaande balansdatum</t>
  </si>
  <si>
    <t>- Uitbesteed werk en andere externe kosten</t>
  </si>
  <si>
    <t>BW 2:396,4</t>
  </si>
  <si>
    <t>BW 2:397,3</t>
  </si>
  <si>
    <t>De waarde van verleende opties moet onder de loonkosten worden opgenomen, alsmede de fiscale heffingen ten laste van de vennootschap.</t>
  </si>
  <si>
    <t>Voor kleine rechtspersonen is alleen vermelding van het gemiddeld aantal werknemers verplicht.</t>
  </si>
  <si>
    <t>Sociale lasten en pensioenlasten</t>
  </si>
  <si>
    <t>BW 2:377,3
BW 2:382</t>
  </si>
  <si>
    <t>Bijzondere waardeveranderingen vlottende activa</t>
  </si>
  <si>
    <t>Vermeld moet worden welke honoraria de externe accountant en de accountantsorganisatie hebben gedeclareerd voor de controle van de jaarrekening, andere controleopdrachten, fiscaal advies en niet-controleopdrachten. De RJ beveelt aan ook de betreffende honoraria van het netwerk van de accountantsorganisatie te vermelden.</t>
  </si>
  <si>
    <t>1. netto-omzet</t>
  </si>
  <si>
    <t>2. kostprijs omzet</t>
  </si>
  <si>
    <t xml:space="preserve">4. overige bedrijfsopbrengsten. </t>
  </si>
  <si>
    <t>- overige belastingen</t>
  </si>
  <si>
    <t>Niet opgenomen latente belastingvorderingen moeten worden toegelicht als voorwaardelijke activa, ook de financiële gevolgen.</t>
  </si>
  <si>
    <t>Het kasstroomoverzicht in de jaarrekening is voor grote en middelgrote rechtspersonen verplicht volgens de Richtlijnen. De wet geeft hiervoor geen voorschriften.</t>
  </si>
  <si>
    <t>De verplichting geldt niet als het kapitaal van de rechtspersoon direct of indirect wordt verschaft door een andere rechtspersoon die een gelijk waardig kasstroomoverzicht opstelt dat is opgenomen in de geconsolideerde jaarrekening. Aangegeven moet worden waar die geconsolideerde jaarrekening verkrijgbaar is. De verplichting geldt ook niet voor rechtspersonen die bij het opstellen van hun jaarrekening art 2: 403 BW toepassen en voor rechtspersonen die als een zuivere tussenholding kunnen worden aangemerkt.</t>
  </si>
  <si>
    <t>Bestuursverslag</t>
  </si>
  <si>
    <t>Een kleine rechtspersoon behoeft geen bestuursverslag op te maken.</t>
  </si>
  <si>
    <t>Het bestuursverslag geeft een getrouw beeld van de toestand op de balansdatum, de ontwikkeling gedurende het boekjaar en de resultaten van de rechtspersoon en van de groepsmaatschappijen waarvan de financiële gegevens in zijn jaarrekening zijn opgenomen.</t>
  </si>
  <si>
    <t>Indien noodzakelijk voor een goed begrip geeft het bestuursverslag een analyse die financiële prestatie-indicatoren omvat, met inbegrip van milieu- en personeelsaangelegenheden.</t>
  </si>
  <si>
    <t>Afhankelijk van de relevantie voor de gebruikers kunnen voorts de volgende onderwerpen in het bestuursverslag van belang zijn:</t>
  </si>
  <si>
    <t>c. een weergave van de statutaire regeling omtrent de bijdrage in het tekort van een coöperatie of onderlinge waarborgmaatschappij voorzover deze van de wettelijke bepalingen afwijkt</t>
  </si>
  <si>
    <t>d. een lijst van namen van degenen aan wie een bijzonder statutair recht inzake de zeggenschap in de rechtspersoon toekomt met een omschrijving van de aard van dat recht</t>
  </si>
  <si>
    <t>e. een opgave van het aantal stemrechtloze aandelen en het aantal aandelen dat geen of slechts beperkt recht geeft tot deling in de winst of reserves, met vermelding van de bevoegdheden die zij geven</t>
  </si>
  <si>
    <t>De gegevens mogen niet in strijd zijn met de jaarrekening en het bestuursverslag.</t>
  </si>
  <si>
    <t xml:space="preserve">Is een bijzonder statutair recht in een aandeel belichaamd dan wordt vermeld hoeveel aandelen elk der rechthebbenden houdt. Indien een zodanig recht toekomt aan een rechtspersoon worden tevens de namen van de bestuurders vermeld. </t>
  </si>
  <si>
    <t>Er is, wanneer de informatie niet in het bestuursverslag moet worden vermeld, ministeriële ontheffing mogelijk voor de vermelding van:</t>
  </si>
  <si>
    <t>i + d*</t>
  </si>
  <si>
    <t>BW 2:380a
RJ 160.404
RJk A4.112</t>
  </si>
  <si>
    <t>Met de implementatie van de Richtlijn 2013/34/EU worden de volgende gegevens opgenomen in de toelichting en niet meer bij de ‘Overige gegevens’:</t>
  </si>
  <si>
    <t>b. (voorstel) bestemming resultaat</t>
  </si>
  <si>
    <t>c. aantal winstbewijzen en soortgelijke rechten, met vermelding van bevoegdheden.</t>
  </si>
  <si>
    <t>BW 2:380a</t>
  </si>
  <si>
    <t xml:space="preserve">Voor grote rechtspersonen gelden geen vrijstellingen. Alle bepalingen van BW 2 Titel 9 en Richtlijnen voor de Jaarverslaggeving zijn onverkort van toepassing. </t>
  </si>
  <si>
    <t>Voor de grote rechtspersoon gelden geen vereenvoudigingen voor het bestuursverslag.</t>
  </si>
  <si>
    <t>Dit geldt ook voor niet in de balans opgenomen regelingen.</t>
  </si>
  <si>
    <t>Balans</t>
  </si>
  <si>
    <t>Er mogen geen posten worden samengetrokken en er gelden geen vrijstellingen.</t>
  </si>
  <si>
    <t>RJ 345.201</t>
  </si>
  <si>
    <t>Grote rechtspersonen hoeven bij tussentijdse berichten niet meer informatie op te nemen dan de informatie die op grond van de Richtlijnen opgenomen moet worden in jaarrekening of bestuursverslag.</t>
  </si>
  <si>
    <t>a. gebeurtenissen na balansdatum met belangrijke financiële gevolgen</t>
  </si>
  <si>
    <t>b. (voorstel) bestemming van het resultaat</t>
  </si>
  <si>
    <t>c. aantal winstbewijzen en soortgelijke rechten met vermelding van hun bevoegdheid.</t>
  </si>
  <si>
    <t>BW 2:380c</t>
  </si>
  <si>
    <t>BW 2:380d</t>
  </si>
  <si>
    <t xml:space="preserve">Voor de grote rechtspersoon gelden geen vereenvoudigingen voor de Overige Gegevens. </t>
  </si>
  <si>
    <t>Het bestuursverslag zoals dit door het bestuur van de rechtspersoon is opgesteld mag ten kantore van de vennootschap ter inzage worden gelegd.</t>
  </si>
  <si>
    <t>Onderstaande overige gegevens worden in ieder geval openbaar gemaakt:</t>
  </si>
  <si>
    <t>b. de opgave van het bestaan van nevenvestigingen en van de landen waar nevenvestigingen zijn, alsmede van hun handelsnaam indien deze afwijkt van die van de rechtspersoon.</t>
  </si>
  <si>
    <t>Microrechtspersonen</t>
  </si>
  <si>
    <t>BEGRIPSBEPALING</t>
  </si>
  <si>
    <t>Als microrechtspersoon wordt aangemerkt die rechtspersoon die op twee opeenvolgende balansdata heeft voldaan aan ten minste twee van de volgende vereisten:</t>
  </si>
  <si>
    <t>Wanneer een personal holding geen groepshoofd is, vormt de enkelvoudige jaarrekening de basis voor de kwalificatie.</t>
  </si>
  <si>
    <t>BW 2:395a,2</t>
  </si>
  <si>
    <t>Als aan alle voorwaarden van BW 2:403 is voldaan, mag de groepsvrijstelling worden toegepast.</t>
  </si>
  <si>
    <t>BW 2:398,3
BW 2:398,6
BW 2:398,7</t>
  </si>
  <si>
    <t>Voor microrechtspersonen gelden in ieder geval alle vrijstellingen die voor kleine rechtspersonen gelden.</t>
  </si>
  <si>
    <t>Een overgang naar het microregime kwalificeert, net als overgang naar of van fiscale grondslagen of actuele waarde, als een stelselwijziging.</t>
  </si>
  <si>
    <t>De microrechtspersoon is vrijgesteld van het opstellen van een bestuursverslag.</t>
  </si>
  <si>
    <t>BW 2:395a,6</t>
  </si>
  <si>
    <t>In ieder geval worden de volgende posten opgenomen:</t>
  </si>
  <si>
    <t>- vaste activa met afzonderlijke vermelding van kosten inzake oprichting en uitgifte van aandelen</t>
  </si>
  <si>
    <t>- vlottende activa met afzonderlijke vermelding van opgevraagde stortingen van geplaatst kapitaal</t>
  </si>
  <si>
    <t>- eigen vermogen (samengetrokken tot een post)</t>
  </si>
  <si>
    <t>- voorzieningen</t>
  </si>
  <si>
    <t>BW 2:364,1
BW 2:365,1a</t>
  </si>
  <si>
    <t>BW 2:370,1d</t>
  </si>
  <si>
    <t>BW 2:373,1</t>
  </si>
  <si>
    <t>BW 2:375,1</t>
  </si>
  <si>
    <r>
      <t>Voor immateriële en materiële vaste activa is dit de</t>
    </r>
    <r>
      <rPr>
        <sz val="10"/>
        <rFont val="Arial"/>
        <family val="2"/>
      </rPr>
      <t> </t>
    </r>
    <r>
      <rPr>
        <sz val="10"/>
        <color indexed="8"/>
        <rFont val="Arial"/>
        <family val="2"/>
      </rPr>
      <t xml:space="preserve"> actuele kostprijs (voorheen: ‘vervangingswaarde’) of de bedrijfswaarde indien deze lager is. Wanneer echter de opbrengstwaarde tussen de bedrijfswaarde en de actuele kostprijs ligt, wordt op opbrengstwaarde gewaardeerd.  </t>
    </r>
  </si>
  <si>
    <t>BW 2:395a,3</t>
  </si>
  <si>
    <t>BAW 8</t>
  </si>
  <si>
    <t>Voor agrarische voorraden komt waardering op opbrengstwaarde in aanmerking.</t>
  </si>
  <si>
    <r>
      <t>-</t>
    </r>
    <r>
      <rPr>
        <sz val="10"/>
        <color indexed="8"/>
        <rFont val="Arial"/>
        <family val="2"/>
      </rPr>
      <t>  netto-omzet</t>
    </r>
  </si>
  <si>
    <r>
      <t>-</t>
    </r>
    <r>
      <rPr>
        <sz val="10"/>
        <color indexed="8"/>
        <rFont val="Arial"/>
        <family val="2"/>
      </rPr>
      <t>  overige bedrijfsopbrengsten</t>
    </r>
  </si>
  <si>
    <r>
      <t>-</t>
    </r>
    <r>
      <rPr>
        <sz val="10"/>
        <color indexed="8"/>
        <rFont val="Arial"/>
        <family val="2"/>
      </rPr>
      <t>  lonen</t>
    </r>
  </si>
  <si>
    <r>
      <t>-</t>
    </r>
    <r>
      <rPr>
        <sz val="10"/>
        <color indexed="8"/>
        <rFont val="Arial"/>
        <family val="2"/>
      </rPr>
      <t>  kosten van grond- en hulpstoffen</t>
    </r>
  </si>
  <si>
    <r>
      <t>-</t>
    </r>
    <r>
      <rPr>
        <sz val="10"/>
        <color indexed="8"/>
        <rFont val="Arial"/>
        <family val="2"/>
      </rPr>
      <t>  afschrijvingen en waardeverminderingen (samengetrokken tot een post)</t>
    </r>
  </si>
  <si>
    <r>
      <t>-</t>
    </r>
    <r>
      <rPr>
        <sz val="10"/>
        <color indexed="8"/>
        <rFont val="Arial"/>
        <family val="2"/>
      </rPr>
      <t> overige bedrijfskosten</t>
    </r>
  </si>
  <si>
    <r>
      <t>-</t>
    </r>
    <r>
      <rPr>
        <sz val="10"/>
        <color indexed="8"/>
        <rFont val="Arial"/>
        <family val="2"/>
      </rPr>
      <t> (overige) belastingen</t>
    </r>
  </si>
  <si>
    <r>
      <t>-</t>
    </r>
    <r>
      <rPr>
        <sz val="10"/>
        <color indexed="8"/>
        <rFont val="Arial"/>
        <family val="2"/>
      </rPr>
      <t> resultaat na belastingen.</t>
    </r>
  </si>
  <si>
    <t>Kasstroomoverzicht en overige toelichting</t>
  </si>
  <si>
    <t>Ook overige toelichting, zoals gebeurtenissen na balansdatum, identificatie rechtspersoon, winstverdeling en winstbewijzen of soortgelijke rechten, hoeft niet te worden verstrekt.</t>
  </si>
  <si>
    <t>OVERIGE GEGEVENS</t>
  </si>
  <si>
    <t>De microrechtspersoon is vrijgesteld van het opnemen van overige gegevens.</t>
  </si>
  <si>
    <t>De microrechtspersoon hoeft alleen de balans openbaar te maken die voldoet aan de minimumeisen die ook voor de jaarrekening gelden.</t>
  </si>
  <si>
    <t>Wanneer de microrechtspersoon in de jaarrekening vrijwillig meer informatie heeft opgenomen, hoeft deze extra informatie niet openbaar gemaakt te worden</t>
  </si>
  <si>
    <t>OPENBAARMAKING</t>
  </si>
  <si>
    <t>BW 2:395a,8</t>
  </si>
  <si>
    <t>DESKUNDIGENONDERZOEK</t>
  </si>
  <si>
    <t xml:space="preserve">De microrechtspersoon is vrijgesteld van accountantscontrole. </t>
  </si>
  <si>
    <t>RJ 630.107</t>
  </si>
  <si>
    <t>RJ 630.301</t>
  </si>
  <si>
    <t>RJ 630.206</t>
  </si>
  <si>
    <t>RJ 630.205</t>
  </si>
  <si>
    <t>RJ 630.201
RJ 630.307</t>
  </si>
  <si>
    <t>Het bedrag en de beperkte doelstelling van bestemmingsfondsen en -reserves en van overige statutaire reserves moet worden vermeld alsmede de voorwaarden die door derden dan wel bestuur of ledenvergadering zijn aangebracht.</t>
  </si>
  <si>
    <t xml:space="preserve">De winst-en-verliesrekening kan worden vervangen door een exploitatierekening indien daarmee het inzicht wordt bevorderd. </t>
  </si>
  <si>
    <t>De ondernemingsactiviteiten moeten worden onderscheiden van de niet-ondernemingsactiviteiten, zonodig door nieuwe rubrieken in te voeren.</t>
  </si>
  <si>
    <t>RJ 630.308</t>
  </si>
  <si>
    <t>RJ 640.513
RJ 640.516</t>
  </si>
  <si>
    <t>RJk C1.402</t>
  </si>
  <si>
    <t>RJk C1.103</t>
  </si>
  <si>
    <t>RJk C1.315</t>
  </si>
  <si>
    <t>Consolidatievrijstellingen en vereenvoudigingen</t>
  </si>
  <si>
    <t xml:space="preserve">- deze consolidatievrijstelling geldt echter niet voor een rechtspersoon waarvan effecten zijn toegelaten op een gereglementeerde markt
</t>
  </si>
  <si>
    <t>- consolidatievrijstelling als het belang slechts wordt gehouden om te vervreemden. Zie nadere toelichting hierna.</t>
  </si>
  <si>
    <t>- reeds geconsolideerde deelnemingen blijven veelal tot daadwerkelijke afstoting in de consolidatie betrokken</t>
  </si>
  <si>
    <t>'- het verkoopbesluit moet zijn genomen en met de uitvoering is feitelijk een begin gemaakt en het is niet te verwachten dat dit verkoopplan fundamenteel wijzigt</t>
  </si>
  <si>
    <t>RJ 217.304</t>
  </si>
  <si>
    <t>RJ 217.305</t>
  </si>
  <si>
    <t>RJ 217.308 e.v.</t>
  </si>
  <si>
    <t>Het begrip dochtermaatschappij wordt afgemeten aan de juridische stemrechtverhoudingen. Indien meer dan de helft van de stemmen kan worden uitgebracht al dan niet krachtens een overeenkomst met derden of minstens de helft van de bestuurders of commissarissen kan worden benoemd of ontslagen dan wel de rechtspersoon volledig aansprakelijk vennoot is, is sprake van een dochtermaatschappij.</t>
  </si>
  <si>
    <t>1. handelsportefeuille: reële waarde.</t>
  </si>
  <si>
    <t>3. gekochte leningen en obligaties (geen handelsportefeuille):</t>
  </si>
  <si>
    <t>Embedded derivaten:</t>
  </si>
  <si>
    <t>De fiscale hoofdregel is kostprijs of lagere bedrijfswaarde.</t>
  </si>
  <si>
    <t>Hedge-accounting</t>
  </si>
  <si>
    <t>Risicobeheer</t>
  </si>
  <si>
    <t>- of het bestuursverslag is opgesteld overeenkomstig Titel 9 Boek 2 BW en met de jaarrekening verenigbaar is en of het bestuursverslag in het licht van bij de controle verkregen kennis en begrip materiële onjuistheden bevat</t>
  </si>
  <si>
    <t>- een oordeel over de verenigbaarheid van het bestuurverslag met de jaarrekening.</t>
  </si>
  <si>
    <t>- een oordeel of er in het licht van tijdens de controle verkregen kennis en begrip materiële onjuistheden in het bestuursverslag zijn gebleken.</t>
  </si>
  <si>
    <t>- microrechtspersonen, kleine en middelgrote rechtspersonen en rechtspersonen die de jaarrekening opstellen conform IFRS</t>
  </si>
  <si>
    <t>BW 2:395a,6
BW 2:396,5
BW 2:397,4</t>
  </si>
  <si>
    <t xml:space="preserve">- als deze gegevens zijn opgenomen in een geconsolideerde jaarrekening die is opgemaakt conform de Richtlijn 2013/34/EU of IFRS </t>
  </si>
  <si>
    <t xml:space="preserve">Onder omstandigheden zijn tussenholdings die enkelvoudig klein zijn vrijgesteld van accountantscontrole. </t>
  </si>
  <si>
    <t>Verwerking positieve goodwill</t>
  </si>
  <si>
    <t>Voor presentatievereisten zie hiervoor.</t>
  </si>
  <si>
    <t>Overige toelichtingen:</t>
  </si>
  <si>
    <t>De verschuldigde pensioenpremie wordt in de kosten opgenomen. Overlopende posten worden via de balans verwerkt.</t>
  </si>
  <si>
    <t>Indien tegen niet-marktconforme prijzen wordt gewerkt, wordt hiervan in de toelichting melding gemaakt en wordt zo mogelijk het effect daarvan op resultaat en vermogen gekwantificeerd.</t>
  </si>
  <si>
    <t>Aan de totstandkoming van deze uitgave is de uiterste zorg besteed. Voor informatie die nochtans onvolledig of onjuist is opgenomen, 
aanvaarden auteur(s), redactie en uitgever geen aansprakelijkheid. Voor eventuele verbeteringen van de opgenomen informatie houden zij zich graag aanbevolen.</t>
  </si>
  <si>
    <t>Tel. 030 656 60 60</t>
  </si>
  <si>
    <t>Organisaties zonder winststreven</t>
  </si>
  <si>
    <t>Joint ventures</t>
  </si>
  <si>
    <t>Consoldatietechniek</t>
  </si>
  <si>
    <t>a. naam</t>
  </si>
  <si>
    <t>b. rechtsvorm</t>
  </si>
  <si>
    <t>c. zetel</t>
  </si>
  <si>
    <t>d. KvK-nummer</t>
  </si>
  <si>
    <t>Sel.</t>
  </si>
  <si>
    <t>Daarnaast zijn de volgende mutaties rechtstreeks in het eigen vermogen toegestaan (limitatieve opsomming):</t>
  </si>
  <si>
    <t>De opbrengst van de verkoop van ingekochte aandelen wordt ten gunste gebracht aan die reserve waarop eerder de inkoop van deze aandelen in mindering is gebracht</t>
  </si>
  <si>
    <t xml:space="preserve">Er zijn vormen van vreemd vermogen, die zo veel kenmerken van eigen vermogen hebben, dat zij als eigen vermogen worden weergegeven. </t>
  </si>
  <si>
    <t>- verschil intercompany-transacties</t>
  </si>
  <si>
    <t>Totaal (enkelvoudige jaarrekening).</t>
  </si>
  <si>
    <t>Verloopoverzicht van alleen herwaarderingsreserves en, alleen voor nv. mutaties eigen aandelen.</t>
  </si>
  <si>
    <t>Het 'eigen vermogen' van een geconsolideerde jaarrekening betreft het groepsvermogen. Dit kan afwijken van het eigen vermogen van het groepshoofd.</t>
  </si>
  <si>
    <t>Met een duurzame waardedaling moet rekening worden gehouden. Dit kan bijvoorbeeld door oninbaarheid of door valutakoersverschillen veroorzaakt worden.</t>
  </si>
  <si>
    <t xml:space="preserve">Indeling naar vorm van de geboden zekerheid </t>
  </si>
  <si>
    <t>Het bestuursverslag is formeel geen onderdeel van de jaarrekening, maar vormt tezamen met de jaarrekening en de overige gegevens de jaarlijkse verslaggeving waarop Titel 9 Boek 2 BW van toepassing is. Aanbevolen wordt jaarrekening en bestuursverslag samen te voegen. Het jaarverslagbestuursverslag mag niet strijdig zijn met de jaarrekening.</t>
  </si>
  <si>
    <t>RJ 345.304</t>
  </si>
  <si>
    <t>Stichtingen en verenigingen moeten voldoen aan de voorschriften van Titel 9 Boek 2 BW indien zij een of meer ondernemingen in stand houden, die in het Handelsregister moet(en) worden ingeschreven en de netto-omzet meer dan 6 mio omzet per jaar bedraagt (zie BW 2:396,1).</t>
  </si>
  <si>
    <t>Dat geldt ook voor verstrekte leningen, voorschotten en garanties verstrekt door de rechtspersoon of dochtermaatschappijen of geconsolideerde maatschappijen; deze moeten altijd worden vermeld.</t>
  </si>
  <si>
    <t>De verslaggevings- en publicatievoorschriften van BW 2 Titel 9 gelden overwegend niet voor stichtingen en verenigingen die in het geheel niet naar winst streven. Dat kan anders zijn door de rechtsvorm of de aard van de activiteiten.</t>
  </si>
  <si>
    <t>Aanbevolen wordt om een baten- en lastenstelsel aan te houden. Een kasstelsel geeft geen getrouw beeld.</t>
  </si>
  <si>
    <t>Het bestuursverslag, ook wel aangeduid als activiteitenverslag beschrijft de doelstelingen, het beleid daartoe en wijze waarop de activiteiten daarin passen.</t>
  </si>
  <si>
    <t xml:space="preserve">De jaarstukken moeten een goed inzicht geven in de activiteiten en de uitkomsten daarvan. De uitgebreidheid hangt af van het specifieke karakter en de omvang en complexiteit van de organisatie. Ook de gebruikers, hun informatiebehoeften en hun positie in relatie tot de organisatie is van belang </t>
  </si>
  <si>
    <t>Bij de bepaling of er sprake is van een groepsmaatschappij wordt het geheel van feitelijke omstandigheden en contractuele relaties in aanmerking genomen. Beschermingsrechten moeten ook worden meegewogen. Daarnaast moeten financiële instrumenten die potentiële stemrechten bevatten in de beoordeling worden betrokken.</t>
  </si>
  <si>
    <t>Bij het bepalen of er sprake is van een deelneming wordt het geheel van feitelijke omstandigheden en contractuele relaties in aanmerking genomen. Beschermingsrechten moeten ook worden meegewogen. Daarnaast moeten financiële instrumenten die potentiële stemrechten bevatten in de beoordeling worden betrokken.</t>
  </si>
  <si>
    <t>- sterk vereenvoudigde winst- en- verliesrekening moedermaatschappij, tenzij het een OOB betreft zoals bedoeld in art. 2:398 lid 7 BW</t>
  </si>
  <si>
    <t>- consolidatievrijstelling kleine rechtspersonen als de hele groep klein is, tenzij een van de maatschappijen een OOB is zoals bedoeld in art. 2:398 lid 7 BW en de algemene vergadering niet binnen zes maanden na aanvang boekjaar bezwaar heeft gemaakt</t>
  </si>
  <si>
    <t>BW 2:407,2a
RJ 217.217</t>
  </si>
  <si>
    <t>Onder voorwaarden zijn groepsmaatschappijen vrijgesteld van accountantscontrole.</t>
  </si>
  <si>
    <t>BW 2:101,1
BW 2:210,1</t>
  </si>
  <si>
    <t>a. waarde van activa op basis van kostprijs is minder dan 6 mio</t>
  </si>
  <si>
    <t>b. de baten bedragen niet meer dan 12 mio</t>
  </si>
  <si>
    <t>BW 2:380b</t>
  </si>
  <si>
    <t>BW 2:395a,1</t>
  </si>
  <si>
    <t>BW 2:395a,4</t>
  </si>
  <si>
    <t>RJ 272.505</t>
  </si>
  <si>
    <t>BW 2:396,1</t>
  </si>
  <si>
    <t>Indien de discontinuïteit onontkoombaar is, wordt gewaardeerd op liquidatiebasis. Het verschil met de waardering op continuïteitbasis moet worden vermeld.</t>
  </si>
  <si>
    <t>BW 2:387,3</t>
  </si>
  <si>
    <t>BW 2:385,2</t>
  </si>
  <si>
    <t>RJ 222.203</t>
  </si>
  <si>
    <t xml:space="preserve">BW 2:406,1
RJ 217.210
</t>
  </si>
  <si>
    <t>bijv.
BW 2:407,3</t>
  </si>
  <si>
    <t>a. de controleverklaring</t>
  </si>
  <si>
    <t>gemiddeld aantal werknemers &gt; 50, &lt; 250</t>
  </si>
  <si>
    <t>Terugneming van een bijzondere waardevermindering is voor goodwill niet toegestaan.</t>
  </si>
  <si>
    <t>- buitengebruikstellingen</t>
  </si>
  <si>
    <t>Waardering op kostprijs minus afschrijvingen of op lagere bedrijfswaarde;</t>
  </si>
  <si>
    <t>Afschrijvingsmethoden dienen de aanwending van de prestatie eenheden zoveel mogelijk te volgen. Daarbij worden economische veroudering en juridische beperkingen (einde huurcontract) in aanmerking genomen.</t>
  </si>
  <si>
    <t>a. bedrijfsgebouwen en -terreinen</t>
  </si>
  <si>
    <t>RJ 214.339</t>
  </si>
  <si>
    <t>- activeren en niet afschrijven maar per jaar waarderen (IFRS)</t>
  </si>
  <si>
    <t>Fiscaal mag op kostprijs of lagere bedrijfswaarde gewaardeerd worden.</t>
  </si>
  <si>
    <t>Afwaardering op lagere actuele waarde is verplicht.</t>
  </si>
  <si>
    <t xml:space="preserve">Methode a. is voorgeschreven indien het projectresultaat betrouwbaar kan worden geschat. Verwachte verliezen dienen overigens direct in de winst-en-verliesrekening te worden opgenomen. </t>
  </si>
  <si>
    <t>Fiscaal moet voortschrijdend winst worden genomen en moet ook de opslag voor constante algemene kosten in de waardering worden opgenomen. Waar nodig kan eventueel een voorziening voor (voor)gecalculeerde verliezen worden getroffen. Het is daarbij niet toegestaan vooruit te lopen op nog niet gerealiseerde stijging van lonen en prijzen.</t>
  </si>
  <si>
    <t>Bij elk van de categorieën wordt aangegeven tot welk bedrag de looptijd langer is dan één jaar.</t>
  </si>
  <si>
    <t>Kortlopende leningen en voorschotten aan bestuurders en commissarissen moeten afzonderlijk worden vermeld. De informatie betreft: bedrag, rentevoet, belangrijkste bepalingen, aflossing gedurende het boekjaar en afgewaardeerde bedragen of bedragen waarvan werd afgezien.</t>
  </si>
  <si>
    <t>Onder effecten worden begrepen waardepapieren zoals aandelen, certificaten van aandelen,claims, obligaties, opties futures en warrants. Indien zij niet zijn bestemd om duurzaam aangehouden te worden voor de werkzaamheid van de rechtspersoon worden zij opgenomen onder vlottende activa. Effecten zijn tevens financiële instrumenten.</t>
  </si>
  <si>
    <r>
      <t xml:space="preserve">d. </t>
    </r>
    <r>
      <rPr>
        <i/>
        <sz val="10"/>
        <color indexed="8"/>
        <rFont val="Arial"/>
        <family val="2"/>
      </rPr>
      <t>Gekochte leningen en obligaties die bestemd zijn om te worden aangehouden tot einde looptijd</t>
    </r>
    <r>
      <rPr>
        <sz val="10"/>
        <color indexed="8"/>
        <rFont val="Arial"/>
        <family val="2"/>
      </rPr>
      <t>: waarderen tegen geamortiseerde kostprijs.</t>
    </r>
  </si>
  <si>
    <r>
      <t xml:space="preserve">e. </t>
    </r>
    <r>
      <rPr>
        <i/>
        <sz val="10"/>
        <color indexed="8"/>
        <rFont val="Arial"/>
        <family val="2"/>
      </rPr>
      <t>Gekochte leningen en obligaties die niet worden aangehouden tot einde looptijd:</t>
    </r>
    <r>
      <rPr>
        <sz val="10"/>
        <color indexed="8"/>
        <rFont val="Arial"/>
        <family val="2"/>
      </rPr>
      <t xml:space="preserve"> waarderen tegen reële waarde of geamortiseerde kostprijs, verwerking waardeveranderingen bij reële waarde naar keuze via de resultaten, of de herwaarderingsreserve. </t>
    </r>
  </si>
  <si>
    <t>b. het bedrag van de baten niet voldoende betrouwbaar geschat kan worden;</t>
  </si>
  <si>
    <t>BW 2:94a.6</t>
  </si>
  <si>
    <t>BW 2:98c.4</t>
  </si>
  <si>
    <t>Waardestijgingen van beleggingen, agrarische voorraden en financiële instrumenten mogen via de winst- en-verliesrekening worden verwerkt.</t>
  </si>
  <si>
    <t>Een beperking om uitkering van dividend te bewerkstelligen kan bestaan ‘indien en voor zover de deelneming geen uitkeringen mag doen die tot
gevolg hebben dat zij niet zal kunnen voortgaan met het betalen van haar opeisbare schulden’.</t>
  </si>
  <si>
    <t>RJ 240.229a      RJk B8.113a</t>
  </si>
  <si>
    <t>Overige reserves</t>
  </si>
  <si>
    <t>Veelal zijn dit personeelsopties, maar ook andere vormen komen voor, zoals betalingen in de vorm van (opties op) eigen aandelen.</t>
  </si>
  <si>
    <t>Bij het toekennen van aandelenopties aan personeel en bestuurders of commissarissen.</t>
  </si>
  <si>
    <t>Vermelding van opties voor bestuurders en commissarissen gezamenlijk voor zover sprake is van een bezoldiging ten laste van de rechtspersoon.</t>
  </si>
  <si>
    <t>VPB art.10,1</t>
  </si>
  <si>
    <t>Fiscale reserves (waaronder de kostenegalisatiereserve) zijn aan eigen regels onderworpen. Deze reserves worden eerst bij het fiscale eigen vermogen geteld en daarna apart als correctie op de fiscale winstberekening verwerkt. Fiscale reserves kennen geen inhaalregeling voor oude jaren: alleen datgene dat door het betreffende jaar wordt veroorzaakt, mag worden gedoteerd.</t>
  </si>
  <si>
    <t>Er kan een voorziening gevormd worden indien voldaan wordt aan de voorwaarden van het baksteenarrest (zie hoofdstuk Voorzieningen algemeen onder 'FISCAAL')</t>
  </si>
  <si>
    <t>Er kan een voorziening gevormd worden indien voldaan wordt aan de voorwaarden van het baksteenarrest (zie Voorzieningen algemeen onder 'FISCAAL')</t>
  </si>
  <si>
    <t>Daarbij worden (dis)agio, boetes bij aflossing, etc. over de looptijd verdeeld. Dit mag door middel van lineaire amortisatie, mits dit geen groot verschil met de effectieve rentemethode laat zien. .</t>
  </si>
  <si>
    <t>Schulden uit hoofde van financial lease worden opgenomen tegen de waarde die zou gelden bij directe betaling van het actief.</t>
  </si>
  <si>
    <t>De voorschriften voor presentatie zijn voor langlopende en kortlopende schulden gelijkluidend.</t>
  </si>
  <si>
    <t>- overige (lang- of kort)lopende schulden</t>
  </si>
  <si>
    <t>BW 2:377,1</t>
  </si>
  <si>
    <t>Bij de categoriale kostensplitsing worden de kosten getoond per kostensoort. Deze is gebaseerd op de productie-omzetmethode waarbij de omzet en de mutatie in de geproduceerde voorraden gesteld worden tegenover de naar categorieën gesplitste kosten.</t>
  </si>
  <si>
    <t>Het gemiddeld aantal werknemers dat bij de onderneming werkzaam is moet in de toelichting worden vermeld, afgestemd op de inrichting van het bedrijf. De vennootschap doet opgave van het aantal werknemers dat werkzaam is buiten Nederland.</t>
  </si>
  <si>
    <t xml:space="preserve">Middelgrote en kleine ondernemingen mogen de opbrengstcategorieën en kosten van de omzet samenvoegen onder één post 'Brutobedrijfsresultaat'. De post brutobedrijfsresultaat omvat de volgende posten: </t>
  </si>
  <si>
    <t>3. bruto-omzetresultaat (som 1+2)</t>
  </si>
  <si>
    <t>De netto-omzet stijging of -daling ten opzichte van het vorig jaar wordt in een verhoudingscijfer vermeld.</t>
  </si>
  <si>
    <t>- moeder rekent af op basis van het fiscale resultaat van de dochters met toerekening van alle voor- en nadelen van de eenheid aan de dochters</t>
  </si>
  <si>
    <t>- boekwinst afzonderlijk in de winst-en-verliesrekening (bijzondere bate)</t>
  </si>
  <si>
    <t>- Operationele kasstromen: transacties en gebeurtenissen die veelal direct leiden tot opbrengsten en kosten in de winst-en-verliesrekening</t>
  </si>
  <si>
    <t>- Investeringskasstromen: investeringen/desinvesteringen in immateriële materiële en financiële vaste activa</t>
  </si>
  <si>
    <t>Aanbevolen wordt om in het overzicht van de kasstroom uit operationele activiteiten een afzonderlijke tussentelling 'kasstroom uit bedrijfsoperaties' te maken.</t>
  </si>
  <si>
    <t xml:space="preserve">In het bestuursverslag wordt in het gevoerde beleid, de (verwachte) gang van zaken en de toestand op balansdatum weergegeven. </t>
  </si>
  <si>
    <t>Daarnaast vermeldt de rechtspersoon haar risicobereidheid (‘risk appetite’), alsmede:
- de getroffen maatregelen om de risico’s en onzekerheden te beheersen
- de verwachte ‘impact’ op resultaten en financiële positie
- de risico’s en onzekerheden die afgelopen boekjaar een belangrijke ‘impact’ hebben gehad
- of, en zo ja, welke verbeteringen in risicomanagement zijn aangebracht.</t>
  </si>
  <si>
    <t>- namen houders bijzondere statutaire rechten en aard van deze rechten</t>
  </si>
  <si>
    <t>RJk A4.108</t>
  </si>
  <si>
    <t>Ook indien een balans vóór winstbestemming wordt opgemaakt, wordt het preferente dividend zichtbaar op het te verdelen resultaat in mindering gebracht en als schuld verwerkt. Dit geldt ook voor statutaire en wettelijk voorgeschreven winstverdelingen.</t>
  </si>
  <si>
    <t>Als onderdeel van de winstverdeling kan een gebruikelijk loon worden gepresenteerd. In sommige vennootschapscontracten is dat opgenomen. Daarbij kan worden aangesloten.</t>
  </si>
  <si>
    <t>Wel valt het aan te bevelen om bij de winstverdeling de afwijkingen tussen commerciële en fiscaal resultaat te vermelden. Te denken valt aan investeringsaftrek, vervroegde afschrijving, zelfstandigenaftrek, winstaftrek en milieuaftrek. De winst waarover belasting wordt geheven is dan bekend en geeft in belangrijke mate informatie aan de gebruiker van de jaarrekening. Er wordt (gewoonlijk) geen voorziening voor latente belastingen gevormd.</t>
  </si>
  <si>
    <t>RJ 630.208</t>
  </si>
  <si>
    <t>Bepaalde stichtingen en verenigingen zijn  vrijgesteld op grond van hun werkzaamheid, zoals ziekenhuizen, bejaardenoorden en dergelijke. Pensioenlichamen zijn onder voorwaarden vrijgesteld, behalve indien het zogenaamde directiepensioenlichamen zijn.</t>
  </si>
  <si>
    <t>De bepalingen van de RJk-bundel zijn van toepassing op de kleine organisatie zonder winstoogmerk. Daardoor is ook een aantal verlichtingen uit de RJk-bundel impliciet geldend.</t>
  </si>
  <si>
    <t xml:space="preserve">BW 2:406,2 BW 2:406,1 </t>
  </si>
  <si>
    <t>Opname is verplicht, zodra contractuele rechten en verplichtingen ontstaan, de risico’s en opbrengsten grotendeels aan de rechtspersoon toegerekend worden en de kostprijs of de marktwaarde betrouwbaar vastgesteld kan worden.</t>
  </si>
  <si>
    <t>4. verstrekte leningen en vorderingen (geen handelsportefeuille): geamortiseerde kostprijs</t>
  </si>
  <si>
    <t>6. overige financiële verplichtingen (geen handelsportefeuille): geamortiseerde kostprijs.</t>
  </si>
  <si>
    <t>1. reële-waardehedge-accounting: afdekken van veranderingen in de reële waarde</t>
  </si>
  <si>
    <t>2. kasstroomhedge-accounting: afdekken van variabiliteit in (toekomstige) kasstromen, verwerking als herwaardering</t>
  </si>
  <si>
    <t>3. kostprijshedge-accounting: afdekken van mutaties in reële waard of kasstroom bij waardering van beide posities op kostprijs tot de afwikkeling</t>
  </si>
  <si>
    <t>Ineffectiviteit kostprijshedge-accounting</t>
  </si>
  <si>
    <t>De algemene vergadering is bevoegd om een accountant te benoemen. Gaat deze er niet toe over dan is de raad van commissarissen bevoegd of, zo deze ontbreekt of in gebreke blijft, het bestuur.</t>
  </si>
  <si>
    <t>De accountant onderzoekt:</t>
  </si>
  <si>
    <t>- of de overige gegevens volgens art. 2:392 lid 1 onderdeel b-f BW zijn toegevoegd.</t>
  </si>
  <si>
    <t>De accountant geeft de uitslag van zijn onderzoek weer in een verklaring omtrent de getrouwheid van de jaarrekening. De controleverklaring
omvat ten minste:</t>
  </si>
  <si>
    <t xml:space="preserve">- financieringsratio's
- rentabiliteitsratio's
- activiteitsratio’s. </t>
  </si>
  <si>
    <t>- eigen vermogen/vreemd vermogen
- eigen vermogen/totaal vermogen.</t>
  </si>
  <si>
    <t>Bruto-winstmarge:</t>
  </si>
  <si>
    <t>bruto-winst/netto-omzet</t>
  </si>
  <si>
    <t>Netto-winstmarge:</t>
  </si>
  <si>
    <t>Het gemiddelde aantal werkzame werknemers gedurende het boekjaar opnemen, verdeeld op een wijze die is afgestemd op de inrichting van het bedrijf (bijvoorbeeld bedrijfstak op geografisch gebied)</t>
  </si>
  <si>
    <t>- activeren en afschrijven naargelang de verwachte gebruiksduur, tenzij de gebruiksduur niet op betrouwbare wijze kan worden vastgesteld (dan afschrijven in maximaal 10 jaar). De redenen daarvoor worden toegelicht</t>
  </si>
  <si>
    <t>De toegestane vormen van actuele waarde zijn:</t>
  </si>
  <si>
    <t>BAW 2</t>
  </si>
  <si>
    <t>- actuele kostprijs (huidige verkrijgings- of vervaardigingsprijs bij technisch gelijke vervanging verminderd met afschrijvingen op basis van feitelijke ouderdom)</t>
  </si>
  <si>
    <t>- bedrijfswaarde</t>
  </si>
  <si>
    <t>- marktwaarde (= reële waarde)</t>
  </si>
  <si>
    <t>- opbrengstwaarde</t>
  </si>
  <si>
    <t>RjK D3.2.309</t>
  </si>
  <si>
    <t>BW 2:395a,2
BW 2:396,2 BW 2:397,2</t>
  </si>
  <si>
    <t xml:space="preserve">Fiscaal is afwaardering naar lagere bedrijfswaarde of marktwaarde toegestaan. Bij latere stijging van deze waarde moet de afwaardering verplicht worden teruggenomen. </t>
  </si>
  <si>
    <t>WAARDERING (algemene regels)</t>
  </si>
  <si>
    <t>RJ 210.306</t>
  </si>
  <si>
    <t xml:space="preserve">- actuele waarde mits er een liquide markt is. Waardering vindt alsdan plaats op actuele kostprijs of lagere realiseerbare waarde (hoogste van bedrijfswaarde en opbrengstwaarde; zie RJ 121).
</t>
  </si>
  <si>
    <t>PRESENTATIE (algemene regels)</t>
  </si>
  <si>
    <t>IB 3.54</t>
  </si>
  <si>
    <t xml:space="preserve">Afschrijving gemaximeerd tot 20% per jaar van de aanschafwaarde (goodwill 10%). </t>
  </si>
  <si>
    <t>IB 3.30,2</t>
  </si>
  <si>
    <t>De voortbrengingskosten kunnen in het kalenderjaar van voortbrenging ineens worden afgeschreven. Activeren is ook toegestaan, mits wordt voldaan aan de voorwaarden voor een 
bedrijfsmiddel. Dit laatste kan bijvoorbeeld het geval zijn indien onderzoek en ontwikkeling hebben geleid tot een patent.</t>
  </si>
  <si>
    <t>IB 3.30,3</t>
  </si>
  <si>
    <t>Zelfgekweekte goodwill mag fiscaal niet worden geactiveerd en hierop kan ook niet worden afgeschreven. Gekochte goodwill wordt over het algemeen geactiveerd. Op de goodwill mag jaarlijks maximaal 10% van de aanschaffingskosten worden afgeschreven. Een extra waardevermindering op grond van lagere bedrijfswaarde is wel toegestaan.</t>
  </si>
  <si>
    <t xml:space="preserve">Regels die gelden voor beide waarderingsgrondslagen </t>
  </si>
  <si>
    <t>RJ 212.424</t>
  </si>
  <si>
    <t>De eerste opname vindt altijd plaats tegen kostprijs.</t>
  </si>
  <si>
    <t>- actuele kostprijs (technisch gelijke vervanging op basis van de ouderdom ten tijde van de verkrijging dan wel vervaardigingsprijs op datum herwaardering en verminderd met afschrijvingen)</t>
  </si>
  <si>
    <t>- bedrijfswaarde (als deze lager is dan de actuele kostprijs)</t>
  </si>
  <si>
    <t>- opbrengstwaarde (als de opbrengstwaarde tussen bedrijfswaarde en actuele kostprijs in ligt).</t>
  </si>
  <si>
    <t>RJ 212.403 e.v.
RJk B2.114 e.v.</t>
  </si>
  <si>
    <t>IB 3.30a</t>
  </si>
  <si>
    <t>IB 3.30</t>
  </si>
  <si>
    <t>RJ 214.307</t>
  </si>
  <si>
    <t xml:space="preserve">- afschrijving over meer dan 20 jaar vereist vermelding van de reden, waaronder factoren die een significante rol spelen bij de bepaling van de levensduur. De realiseerbare waarde dient dan jaarlijks te worden bepaald </t>
  </si>
  <si>
    <t>RJ 216.403
RJ 210.419</t>
  </si>
  <si>
    <t>Bij (gedeeltelijke) verkoop wordt de toegerekende goodwill ten laste van het resultaat gebracht.</t>
  </si>
  <si>
    <t>- belangen van meer dan 20% of aansprakelijk vennoot:
        - naam en woonplaats
        - aandeel in het kapitaal</t>
  </si>
  <si>
    <t>- van belangen zoals vermeld in BW 2:414,1 (consolidatie): naam en woonplaats.</t>
  </si>
  <si>
    <t>BW 2:379,2</t>
  </si>
  <si>
    <t>- de maatschappij consolideert</t>
  </si>
  <si>
    <t>- de maatschappij overeenkomstig BW 2:389 lid 1 tot en met 7 verantwoordt</t>
  </si>
  <si>
    <t>- de gegevens vanwege te verwaarlozen betekenis of BW 2:408,2 niet consolideert</t>
  </si>
  <si>
    <t>- minder dan de helft van het kapitaal verschaft en de maatschappij haar balans wettig niet openbaar maakt.</t>
  </si>
  <si>
    <t>Tenzij een maatschappij haar belang wettig niet pleegt te vermelden:</t>
  </si>
  <si>
    <t>VPB 13</t>
  </si>
  <si>
    <t>Resultaten op leningen, die valutaresultaten op deelnemingen moeten compenseren (hedgen) delen in de deelnemingsvrijstelling.</t>
  </si>
  <si>
    <t>Waardering vindt plaats op kostprijs of lagere bedrijfswaarde.</t>
  </si>
  <si>
    <t>Waardering boven de kostprijs tot maximaal de waarde in het economische verkeer is toegestaan voor deelnemingen waarop de deelnemingsvrijstelling van toepassing is. Waardering op netto-vermogenswaarde kan dus als de deelnemingsvrijstelling van toepassing is, mits deze waarde hoger of gelijk is aan de kostprijs of de lagere bedrijfswaarde maar niet hoger is dan de waarde in het economische verkeer. Is de deelnemingsvrijstelling niet van toepassing dan is waardering op nettovermogenswaarde alleen toegestaan als deze gelijk is aan de kostprijs of de lagere bedrijfswaarde.</t>
  </si>
  <si>
    <t>In aandelen meegekochte goodwill kan niet ten laste van de fiscale winst worden afgeschreven (mogelijk ontstaat bij liquidatie wel een liquidatieverlies).</t>
  </si>
  <si>
    <t>Fiscale earn-out regeling</t>
  </si>
  <si>
    <t>VPB 13,6</t>
  </si>
  <si>
    <t>Voorraden worden gewaardeerd op tegen kostprijs of lagere opbrengstwaarde. Alleen agrarische voorraden (zie aldaar) mogen ook op actuele waarde, zijnde de hogere opbrengstwaarde, worden gewaardeerd.</t>
  </si>
  <si>
    <t>BW 2:387,2
RJ 220.301</t>
  </si>
  <si>
    <t>Hiervoor komt uitsluitend de (lagere) opbrengstwaarde in aanmerking. Deze wordt gewoonlijk per bestanddeel bepaald. De opbrengstwaarde dient te worden bepaald op basis van betrouwbare schattingen naar de omstandigheden die bestaan op balansdatum.</t>
  </si>
  <si>
    <t>Waardeveranderingen op grond van frequente marktnoteringen worden dan naar keuze direct in de resultaten of in het eigen vermogen verantwoord.</t>
  </si>
  <si>
    <t>BW 2:384,7
RJ 220.334</t>
  </si>
  <si>
    <t>Bij directe verwerking in de winst-en-verliesrekening wordt geen herwaarderingsreserve gevormd en wordt de waardeverandering verwerkt in de periode waarin deze zich voordoet.</t>
  </si>
  <si>
    <t>Als geen frequente marktnoteringen bestaan wordt de waardevermeerdering in een herwaarderingsreserve verwerkt.</t>
  </si>
  <si>
    <t xml:space="preserve">Bij toepassing van een herwaarderingsreserve vindt verwerking van de boekwaarde in de winst-en-verliesrekening plaats op het moment van verkoop. </t>
  </si>
  <si>
    <t>RJ 220.403</t>
  </si>
  <si>
    <t>RJ 220.404</t>
  </si>
  <si>
    <t>De vervaardigingsprijs van gerede producten omvat de variabele kosten en de aan het product toerekenbare vaste kosten. Het constante deel van de algemene kosten mag buiten de waardering blijven. Rente wordt niet toegerekend.</t>
  </si>
  <si>
    <t>De waardering op (lagere) marktwaarde is overeenkomstig de waardering volgens BW2 Titel 9.</t>
  </si>
  <si>
    <t>IB 3.29b</t>
  </si>
  <si>
    <t>IB 3.26</t>
  </si>
  <si>
    <t>De geamortiseerde kostprijs is de waarde bij eerste opnamen plus de contante waarde van het verschil bij aflossing. Hiervoor is lineaire berekening toegestaan, mits dit geen materiële verschillen geeft.</t>
  </si>
  <si>
    <t>-  totalen van rechtstreekse mutaties in het eigen vermogen</t>
  </si>
  <si>
    <t>x, aangepast</t>
  </si>
  <si>
    <t>Bij de waardering van voorzieningen (en van fiscale reserves) mag geen rekening worden gehouden met stijging van lonen en prijzen na balansdatum. In de commerciële balans wordt met deze kostenstijgingen wel rekening gehouden.</t>
  </si>
  <si>
    <t>De kosten die het rechtstreekse gevolg zijn van de reorganisatie worden opgenomen. Kosten van opstarten van nieuwe activiteiten en kosten van toekomstige verliezen uit af te bouwen activiteiten mogen niet worden voorzien.</t>
  </si>
  <si>
    <t>Uitkeringen bij ontslag waarbij het effect van de tijdswaarde van geld materieel is, worden tegen contante waarde opgenomen (zie RJ 271.207).</t>
  </si>
  <si>
    <t>BW 2:375,6</t>
  </si>
  <si>
    <t>Gestelde zakelijke zekerheden dienen per soort te worden vermeld</t>
  </si>
  <si>
    <t>RJ 254.404
RJk B9.205</t>
  </si>
  <si>
    <t>- garantie uit hoofde van aansprakelijkheid voor schulden dochters</t>
  </si>
  <si>
    <t>Vermelding van de omzet is alleen verplicht voor grote rechtspersonen.</t>
  </si>
  <si>
    <t>Kleine rechtspersonen hoeven deze vermelding niet op te nemen</t>
  </si>
  <si>
    <t>De RJ adviseert de honoraria te vermelden die op het boekjaar betrekking hebben, ongeacht wanneer de werkzaamheden zijn verricht. In ieder geval moet de methode van vermelding worden uiteengezet.</t>
  </si>
  <si>
    <t>Kleine rechtspersonen hoeven deze vermelding niet op te nemen.</t>
  </si>
  <si>
    <t>- moeder rekent met de dochters af alsof de dochters zelfstandig belastingplichtig zijn</t>
  </si>
  <si>
    <t xml:space="preserve">Belastingen over het gewone resultaat moeten afzonderlijk worden gepresenteerd. </t>
  </si>
  <si>
    <t>Middelgrote rechtspersonen die niet beursgenoteerd, zijn hiervan vrijgesteld.</t>
  </si>
  <si>
    <t>RJ 330.203</t>
  </si>
  <si>
    <t>Kleine rechtspersonen zijn hiervan volledig vrijgesteld.</t>
  </si>
  <si>
    <t>SPECIFIEKE ONDERWERPEN</t>
  </si>
  <si>
    <t>Risico’s en onzekerheden</t>
  </si>
  <si>
    <t>Het bestuursverslag geeft een beschrijving van de voornaamste risico’s en onzekerheden waarmee de rechtspersoon wordt geconfronteerd.</t>
  </si>
  <si>
    <t>Dit betreft vooral gebeurtenissen en ontwikkelingen met belangrijke gevolgen voor resultaten, de financiële positie en eventueel de continuïteit.</t>
  </si>
  <si>
    <t>Onderzoek en ontwikkeling</t>
  </si>
  <si>
    <t>De accountant gaat na of het bestuursverslag is opgesteld overeenkomstig Titel 9 Boek 2 BW en met de jaarrekening verenigbaar is en of het bestuursverslag in het licht van bij de controle verkregen kennis en begrip materiële onjuistheden bevat. De accountant rapporteert hierover in de controleverklaring.</t>
  </si>
  <si>
    <t>Nv’s met aandelen aan toonder</t>
  </si>
  <si>
    <t>Vrijstellingen middelgroot</t>
  </si>
  <si>
    <t xml:space="preserve">Diversen </t>
  </si>
  <si>
    <t>- automatisering en</t>
  </si>
  <si>
    <t>BW 2:392 
RJ 410.102</t>
  </si>
  <si>
    <t>f. een opgave van het bestaan van nevenvestigingen en van de landen waar nevenvestigingen zijn alsmede van hun handelsnaam indien deze afwijkt van die van de rechtspersoon</t>
  </si>
  <si>
    <t>Micro- en kleine rechtspersonen zijn vrijgesteld van het toevoegen van overige gegevens.</t>
  </si>
  <si>
    <t>BW 2:395a,6
BW 2:396,7</t>
  </si>
  <si>
    <t>Indien het voor het inzicht onontbeerlijk is, moeten zij ook worden verwerkt als zij optreden in de periode tot het vaststellen van de jaarrekening.</t>
  </si>
  <si>
    <t>Indien deze gebeurtenissen de oordeelsvorming over de jaarrekening beïnvloeden, worden de aard van de gebeurtenis en de schatting van de financiële gevolgen (of de mededeling dat dit niet mogelijk is) in de toelichting op de jaarrekening opgenomen.</t>
  </si>
  <si>
    <t>Fiscaal mag geen rekening worden gehouden met gebeurtenissen die zich na balansdatum hebben voorgedaan. Kennis die later is verkregen over de toestand op balansdatum, mag wel in aanmerking worden genomen. Met feiten en omstandigheden die pas bekend worden na het opmaken van de fiscale balans, maar voor het definitief vaststaan van de aanslag, mag ook rekening gehouden worden.</t>
  </si>
  <si>
    <t xml:space="preserve">In dit hoofdstuk wordt beschreven welke extra vereisten ten opzichte van middelgrote rechtspersonen van toepassing zijn op de jaarverslaggeving van grote rechtspersonen. </t>
  </si>
  <si>
    <t>Leaseovereenkomsten</t>
  </si>
  <si>
    <t>Fusies en overnames</t>
  </si>
  <si>
    <t>RJ 216.410</t>
  </si>
  <si>
    <t>Niet in de balans opgenomen posten</t>
  </si>
  <si>
    <t>BW 2:393</t>
  </si>
  <si>
    <t>In dit hoofdstuk wordt beschreven wat de minimale vereisten zijn wanneer de rechtspersoon gebruik maakt van de vrijstellingen op grond van BW 2:395a.</t>
  </si>
  <si>
    <t>RJk M1</t>
  </si>
  <si>
    <t>Dit geldt eveneens voor het oprichtingsjaar en het jaar daaropvolgend, indien deze omvangscriteria in het oprichtingsjaar van toepassing zijn.</t>
  </si>
  <si>
    <t>BW 2:398,1
RJk M1.108</t>
  </si>
  <si>
    <t>Voor de bepaling van de omvang moeten de betreffende waarden van deelnemingen die in de consolidatie zouden moeten worden betrokken worden meegeteld, tenzij de rechtspersoon de consolidatievrijstelling van BW 2:408 toepast.</t>
  </si>
  <si>
    <t>RJk M1.109</t>
  </si>
  <si>
    <t>RJk M1.103</t>
  </si>
  <si>
    <t>RJk D3.1.106</t>
  </si>
  <si>
    <t>BW 2:395a,7
RJk D3.1.201</t>
  </si>
  <si>
    <t>RJk M1.304</t>
  </si>
  <si>
    <t>RJk M1.203</t>
  </si>
  <si>
    <t>Er hoeft geen enkele toelichting te worden gegeven, ook niet van de grondslagen, tenzij dit voor het vereiste inzicht noodzakelijk is. Dit geldt bijvoorbeeld wanneer de entiteit liquidatiegrondslagen toepast. Ook de toepassing van fiscale grondslagen wordt (onder de balans en de winst-en-verliesrekening) vermeld.</t>
  </si>
  <si>
    <t>Een nv vermeldt onder de balans iedere verwerving of vervreemding van (certificaten van) eigen aandelen.</t>
  </si>
  <si>
    <t>RJk M1.204</t>
  </si>
  <si>
    <t>De bepalingen in de RJk met betrekking tot verwerkings- en waarderingsaspecten voor kleine rechtspersonen zijn van overeenkomstige toepassing.</t>
  </si>
  <si>
    <t>RjK M1.301</t>
  </si>
  <si>
    <t>De microrechtspersoon mag uitsluitend actuele waarde toepassen voor immateriële en materiële vaste activa en voor agrarische voorraden.</t>
  </si>
  <si>
    <t>RJk M1.303</t>
  </si>
  <si>
    <t>RJk M1.205</t>
  </si>
  <si>
    <t>Er hoeft geen enkele toelichting te worden gegeven, ook niet over de resultaatbepalingsgrondslagen, tenzij dit voor het vereiste inzicht noodzakelijk is. De grondslagen moeten wel worden toegepast.</t>
  </si>
  <si>
    <t>RJk M1.202</t>
  </si>
  <si>
    <t>De microrechtspersoon is vrijgesteld van het opstellen van een kasstroomoverzicht.</t>
  </si>
  <si>
    <t>RJk M1.201</t>
  </si>
  <si>
    <t>RJk M1.401</t>
  </si>
  <si>
    <t>Met overlopende activa en passiva inzake overige bedrijfskosten hoeft daarom ook geen rekening te worden gehouden.</t>
  </si>
  <si>
    <t>RJK M1.402</t>
  </si>
  <si>
    <t>RJk D3.1</t>
  </si>
  <si>
    <t>Hieronder worden de verschillen met toepassing door kleine rechtspersonen weergegeven alsmede specifieke punten voor microrechtspersonen.</t>
  </si>
  <si>
    <t>De overgang naar fiscale grondslagen kwalificeert als stelselwijziging.</t>
  </si>
  <si>
    <t>RJk D3.1.501</t>
  </si>
  <si>
    <t xml:space="preserve">Als de entiteit fiscale grondslagen toepast, vermeldt de entiteit dit in de toelichting. </t>
  </si>
  <si>
    <t>BW 2:395a,7
RJk D3.1.301</t>
  </si>
  <si>
    <t>Vermelding van ‘Fiscale waarderingsgrondslagen toegepast’ als voetnoot bij de balans en de winst-en-verliesrekening wordt hiertoe aanvaardbaar geacht.</t>
  </si>
  <si>
    <t>RJk D3.1.305</t>
  </si>
  <si>
    <t>Omdat eigen vermogen als één post wordt opgenomen hoeven wettelijke reserves niet afzonderlijk te worden gepresenteerd. Dit geldt ook voor de fiscale reserves, zoals ‘informeel kapitaal’ en herinvesteringsreserve (HIR). De HIR is overigens op grond van BW2 Titel 9 geen wettelijke reserve.</t>
  </si>
  <si>
    <t>RJk D3.1.303</t>
  </si>
  <si>
    <t>Afwijkingen tussen fiscale en commerciële waarderingen hoeven niet te worden toegelicht, tenzij dat voor het wettelijk vereiste inzicht noodzakelijk is.</t>
  </si>
  <si>
    <t>Fiscale correcties worden bij voorkeur retrospectief verwerkt. Het is daarbij aanvaardbaar de vergelijkende cijfers niet aan te passen.</t>
  </si>
  <si>
    <t>RJk D3.1.401
RJk D3.1.402</t>
  </si>
  <si>
    <t>Consolidatie mag, ongeacht of dit aansluit op een fiscale eenheid, worden toegepast, waarbij deze dan wel moet voldoen aan afdeling 13 van BW2 Titel 9. Een ‘geconsolideerd overzicht van de fiscale eenheid’ waarbij de fiscale eenheid afwijkt van de consolidatiekring voldoet hier niet aan en vormt geen onderdeel van de formele jaarrekening.</t>
  </si>
  <si>
    <t>RJk D3.1.403</t>
  </si>
  <si>
    <t>De verslaggeving van ondernemingsvormen zonder rechtspersoonlijkheid is summier geregeld (behoudensehalve wanneer BW 2:360,2 inzake ‘buitenlandse vennoten’ van toepassing is). De rechten en verplichtingen moeten op elk moment uit de administratie blijken.</t>
  </si>
  <si>
    <t>VRIJSTELLINGEN</t>
  </si>
  <si>
    <t>Ondernemingen die aan de vereisten van dit hoofdstuk voldoen, hebben onder meer de volgende vrijstellingen:</t>
  </si>
  <si>
    <t>- opnemen overige gegevens</t>
  </si>
  <si>
    <t>- openbaarmaking</t>
  </si>
  <si>
    <t>- deskundigenonderzoek</t>
  </si>
  <si>
    <t>VPB 6</t>
  </si>
  <si>
    <t>VPB 5,2</t>
  </si>
  <si>
    <t>VPB 12</t>
  </si>
  <si>
    <t>RJ 640.308
RJ 640.309</t>
  </si>
  <si>
    <t>Baten in de vorm van ontvangen goederen of diensten worden gewaardeerd tegen de reële waarde (mits betrouwbaar vast te stellen en materieel). Onbetaalde diensten door vrijwilligers worden niet opgenomen, maar (eventueel) vermeld in het bestuursverslag.</t>
  </si>
  <si>
    <t>Sponsorbijdragen zijn bijdragen waarvoor een in geld waardeerbare prestatie wordt geleverd.</t>
  </si>
  <si>
    <t>Mutaties in de bestemmingsreserves of bestemmingsfondsen worden in de staat van baten en lasten opgenomen.</t>
  </si>
  <si>
    <t>Vennootschapsbelastingplicht zal niet snel ontstaan. Indien dat wel het geval is zijn de opmerkingen van toepassing bij tabblad commerciële stichtingen en verenigingen.</t>
  </si>
  <si>
    <t>De omzetbelasting ziet op de activiteiten en of deze al dan niet in concurrentie met anderen op een markt worden uitgevoerd. Het winstoogmerk is secundair. Er zijn uitgebreide vrijstellingen voor sociaal-culturele activiteiten, medische en paramedische activiteiten en sport.</t>
  </si>
  <si>
    <t xml:space="preserve">Voor de schenking- en erfbelasting is nog een categorie, namelijk de SBBI (Sociaal Belang Behartigende Instelling). De schenkingen en erfstellingen aan een SBBI kunnen onbelast geïncasseerd worden, maar schenkingen zijn niet aftrekbaar bij de schenker voor de IB of VPB. </t>
  </si>
  <si>
    <t>Giften aan een steunstichting van een SBBI zijn wel (deels) aftrekbaar.</t>
  </si>
  <si>
    <t>Participatiemaatschappijen moeten in beginsel wel consolideren als overheersende zeggenschap wordt uitgeoefend. Hierop is een uitzondering mogelijk (zie aldaar).</t>
  </si>
  <si>
    <t>Integrale consolidatie is voorgeschreven.</t>
  </si>
  <si>
    <t>Onderlinge relaties en onderlinge transacties worden geëlimineerd.</t>
  </si>
  <si>
    <t>RJ 217.507</t>
  </si>
  <si>
    <t>De wijze van eliminatie van resultaten op intercompanytransacties wordt bepaald door het type transactie: downstream, upstream of sidestream.</t>
  </si>
  <si>
    <t>Resultaten van verworven belangen mogen pas worden opgenomen vanaf het moment dat er beslissende invloed is ontstaan (bij vervreemding geldt m.m. hetzelfde).</t>
  </si>
  <si>
    <t>Consolidatie en fusies en overnames</t>
  </si>
  <si>
    <t>Bij beide methoden worden activa en passiva die aan de voorwaarden voldoen gewaardeerd op reële waarde.</t>
  </si>
  <si>
    <t>RJ 216.208</t>
  </si>
  <si>
    <t>Consolidatie en vreemde valuta</t>
  </si>
  <si>
    <t>Posten en resultaten van bedrijfsuitoefening in het buitenland worden verwerkt overeenkomstig de consolidatieprincipes (RJ 217). Hierbij worden valutakoersverschillen uit monetaire activa en passiva in de winst-en-verliesrekening verantwoord.</t>
  </si>
  <si>
    <t>RJ 122.308</t>
  </si>
  <si>
    <t>- consolidatievrijstelling voor de beheer- en financieringsmaatschappij zelf, voor zover deze art. 2:389 BW toegepast</t>
  </si>
  <si>
    <r>
      <t xml:space="preserve">- </t>
    </r>
    <r>
      <rPr>
        <sz val="10"/>
        <color indexed="8"/>
        <rFont val="Arial"/>
        <family val="2"/>
      </rPr>
      <t>participatiemaatschappijen kunnen, onder de voorwaarde dat de meerderheidsbelangen als effecten worden gerubriceerd en specifieke toelichtingen worden verstrekt over onder meer toepassing en reden, ook gebruik maken van de vrijstelling op grond van art. 2:407 lid 1c BW</t>
    </r>
  </si>
  <si>
    <t>Een persoonlijke houdstermaatschappij behoort mogelijk niet tot de groep als deze voornamelijk de belangen van de grootaandeelhouder behartigt. De houdster hoeft dan niet te worden meegeconsolideerd. Bij het houden van meerdere belangen zal de houdstermaatschappij eerder als groepshoofd kunnen worden aangemerkt.</t>
  </si>
  <si>
    <r>
      <t>- afgeleid (derivaten):</t>
    </r>
    <r>
      <rPr>
        <sz val="10"/>
        <rFont val="Arial"/>
        <family val="2"/>
      </rPr>
      <t xml:space="preserve"> gekoppeld aan het waardeverloop van marktfactoren (bijv. rentevoet, goederenprijs, valutakoers), waarvoor (vrijwel) geen netto-aanvangsinvestering is benodigd en die in de toekomst worden afgehandeld. Er wordt daarom in beginsel niet feitelijk geleverd, maar alleen afgerekend over het verschil als gevolg van de gewijzigde marktfactoren.</t>
    </r>
  </si>
  <si>
    <t>Inkoopcontracten die gericht zijn op de normale verbruiksbehoefte en die daarmee leiden tot een goederenlevering gelden niet als afgeleid financieel instrument.</t>
  </si>
  <si>
    <t>Bij toepassing van reële waarde worden waardeverschillen in de winst-en-verliesrekening opgenomen. Bij categorie 3b en 5 is het ook mogelijk om positieve, niet-gerealiseerde waarderingsverschillen in een herwaarderingsreserve te verwerken.</t>
  </si>
  <si>
    <t>Op het moment van herclassificatie (bijvoorbeeld als gevolg van het illiquide worden van markten) mag geen winst of verlies worden genomen. Bij overgang van een reële-waardecategorie naar een kostprijscategorie moet het waardeverschil in de kostprijs worden verwerkt. Bij overgang van een kostprijscategorie naar een reële-waardecategorie moet het verschil in de balanswaardering blijven tot het instrument van de balans verdwijnt.</t>
  </si>
  <si>
    <t>Uitzondering vormen geschreven putopties op eigen aandelen. Deze mogen als eigen vermogen worden behandeld indien ze aan een aantal kenmerken voldoen.</t>
  </si>
  <si>
    <t>Per categorie worden vermeld de actuele waarde en de waardeveranderingen die in de resultaten, de herwaarderingsreserve of andere reserves zijn verwerkt.</t>
  </si>
  <si>
    <t>- per categorie afgeleide financiële instrumenten worden vermeld de actuele waarde, mits bepaalbaar, en de aard en omvang van de instrumenten</t>
  </si>
  <si>
    <t>- voor financiële vaste activa die boven de actuele waarde gewaardeerd zijn worden vermeld de boekwaarde en de actuele waarde van de afzonderlijke activa en de reden waarom de boekwaarde niet is verminderd.</t>
  </si>
  <si>
    <t>Aanbevolen wordt om rekening te houden met het relatieve belang van de financiële instrumenten om te voorkomen dat door een overvloedige hoeveelheid informatie het inzicht vertroebeld wordt.</t>
  </si>
  <si>
    <r>
      <rPr>
        <i/>
        <sz val="10"/>
        <color indexed="8"/>
        <rFont val="Arial"/>
        <family val="2"/>
      </rPr>
      <t>Renterisico</t>
    </r>
    <r>
      <rPr>
        <sz val="10"/>
        <color indexed="8"/>
        <rFont val="Arial"/>
        <family val="2"/>
      </rPr>
      <t>: risico dat de waarde fluctueert door wijzigingen in de marktrente.</t>
    </r>
  </si>
  <si>
    <r>
      <rPr>
        <i/>
        <sz val="10"/>
        <color indexed="8"/>
        <rFont val="Arial"/>
        <family val="2"/>
      </rPr>
      <t>Kasstroomrisico</t>
    </r>
    <r>
      <rPr>
        <sz val="10"/>
        <color indexed="8"/>
        <rFont val="Arial"/>
        <family val="2"/>
      </rPr>
      <t>: risico dat kasstromen in omvang kunnen fluctueren.</t>
    </r>
  </si>
  <si>
    <r>
      <rPr>
        <i/>
        <sz val="10"/>
        <color indexed="8"/>
        <rFont val="Arial"/>
        <family val="2"/>
      </rPr>
      <t>Liquiditeitsrisico</t>
    </r>
    <r>
      <rPr>
        <sz val="10"/>
        <color indexed="8"/>
        <rFont val="Arial"/>
        <family val="2"/>
      </rPr>
      <t>: risico dat financiële middelen ontbreken om aan verplichtingen te kunnen voldoen.</t>
    </r>
  </si>
  <si>
    <t>Financiële instrumenten worden veelvuldig gebruikt voor het afdekken van risico's Zij hebben een waardeverloop dat tegengesteld is aan het waardeverloop van de af te dekken positie.</t>
  </si>
  <si>
    <t>- kredietrisico: risico dat de tegenpartij niet betaalt</t>
  </si>
  <si>
    <t>4. hedge van het valutarisico op een netto-investering in een buitenlandse eenheid: verwerking in een wettelijke reserve omrekeningsverschillen.</t>
  </si>
  <si>
    <t>Het deskundigenonderzoek betreft een opdracht tot controle van de jaarrekening. Een beoordelings- of samenstellingsopdracht kan daartoe niet dienen bij een grote en middelgrote rechtspersoon.</t>
  </si>
  <si>
    <t>- een vermelding op welke jaarrekening het onderzoek betrekking heeft en welke wettelijke voorschriften op de jaarrekening van toepassing zijn</t>
  </si>
  <si>
    <t>BW 2:393,5g</t>
  </si>
  <si>
    <t>De vermelding betreft het honorarium van de controlerend accountant(s) dat ten laste is gebracht van de vennootschap en haar dochtermaatschappijen.</t>
  </si>
  <si>
    <t>BW 2:382a,2</t>
  </si>
  <si>
    <t>Aanbevolen wordt om alle kosten die op het boekjaar betrekking hebben te vermelden, ongeacht of de werkzaamheden reeds zijn verricht. In ieder geval moet de methode van vermelding worden toegelicht.</t>
  </si>
  <si>
    <t>In het kader van onafhankelijkheid wordt aanbevolen om ook de desbetreffende kosten van het netwerk van de accountantsorganisatie te vermelden.</t>
  </si>
  <si>
    <t>Samengestelde transacties zijn met elkaar verbonden overeenkomsten, die voortspruiten uit een wederzijdse wilsovereenstemming.</t>
  </si>
  <si>
    <t>BW 2:394,1
BW 2:394,2</t>
  </si>
  <si>
    <t>De uiterste termijn voor het vaststellen van de jaarrekening door de algemene vergadering is 12 maanden na afloop van het boekjaar.</t>
  </si>
  <si>
    <t>De uiterste termijn voor deponering bij het handelsregister is 12 maanden na afloop van het boekjaar.</t>
  </si>
  <si>
    <t>- ouderdom van de schatting bij bedrijfswaarde.</t>
  </si>
  <si>
    <t>RJ 122.211</t>
  </si>
  <si>
    <t>Actuele waarde is verboden voor:</t>
  </si>
  <si>
    <t>Beëindiging van bedrijfsactiviteiten</t>
  </si>
  <si>
    <t>De microrechtspersoon mag er voor kiezen fiscale grondslagen toe te passen. Deze moeten dan integraal worden toegepast. (zie nadere toelichting aan het eind).</t>
  </si>
  <si>
    <t>De uiterste termijn voor opstellen jaarrekening door bestuur bedraagt 
10 maanden na afloop van het boekjaar.</t>
  </si>
  <si>
    <t>Entiteiten zonder rechtspersoonlijkheid</t>
  </si>
  <si>
    <t>Presentatievaluta anders dan functionele valuta</t>
  </si>
  <si>
    <t>Deelnemingen en consolidatie</t>
  </si>
  <si>
    <t>Deze regels moeten worden toegepast bij transacties die plaatsvinden in verslagjaren die aanvangen op of na 01-01-2015.</t>
  </si>
  <si>
    <t>Door middelgrote rechtspersonen hoeft aan niet-financiële prestatie-indicatoren geen aandacht te worden besteed.</t>
  </si>
  <si>
    <t>RJ 350</t>
  </si>
  <si>
    <t>Indien kapitaalbelangen daaraan niet voldoen kwalificeren zij als overige effecten.</t>
  </si>
  <si>
    <t>Dit geldt ook voor overige gesegmenteerde informatie (aanbeveling RJ).
Zie ook Segmentatie.</t>
  </si>
  <si>
    <t>Als waarderingsgrondslag komen in aanmerking de verkrijgings- of vervaardigingsprijs en de actuele waarde.</t>
  </si>
  <si>
    <t>Bij de keuze van een grondslag voor de waardering van een actief en van een passief laat de rechtspersoon zich leiden door de voorschriften van art. 2:362 leden 1-4 BW.</t>
  </si>
  <si>
    <t>De grondslagen van waardering van activa en passiva en de resultaatbepaling moeten worden opgenomen.</t>
  </si>
  <si>
    <t xml:space="preserve">BW 2:384,5
</t>
  </si>
  <si>
    <t xml:space="preserve">RJ 300.103, RJkB18.102 </t>
  </si>
  <si>
    <t>RJ 110.129</t>
  </si>
  <si>
    <t>RJ 135.203</t>
  </si>
  <si>
    <t>Grote rechtspersonen moeten verwijzingen naar de relevante toelichtingen opnemen in de balans, de winst-en-verliesrekening en het kasstroomoverzicht.</t>
  </si>
  <si>
    <t>RJk D3.2.104</t>
  </si>
  <si>
    <t>Bij oprichting voor bepaalde tijd of bij besluit tot liquidatie moet dit feit toegelicht worden</t>
  </si>
  <si>
    <t>RJ 170.104
RJk A2.213a</t>
  </si>
  <si>
    <t>BW 2:387,3
RJ 121
RJk A2.3</t>
  </si>
  <si>
    <r>
      <t xml:space="preserve">Met een op korte termijn voorzienbare toekomstige waardevermindering mag </t>
    </r>
    <r>
      <rPr>
        <b/>
        <sz val="10"/>
        <color indexed="8"/>
        <rFont val="Arial"/>
        <family val="2"/>
      </rPr>
      <t>geen</t>
    </r>
    <r>
      <rPr>
        <sz val="10"/>
        <color indexed="8"/>
        <rFont val="Arial"/>
        <family val="2"/>
      </rPr>
      <t xml:space="preserve"> rekening worden gehouden.</t>
    </r>
  </si>
  <si>
    <t>- terugnemingen van bijzondere waardeverminderingen ten gunste van het eigen vermogen of het resultaat</t>
  </si>
  <si>
    <t>Waardeverminderingen van materieel belang, of terugnemingen daarvan moeten worden toegelicht.</t>
  </si>
  <si>
    <t>Daarnaast wordt de boekwaarde van activa met beperking van eigendomsrecht of zekerheidstelling in de toelichting vermeld.</t>
  </si>
  <si>
    <t>RJ 210.505
RJk B1.119</t>
  </si>
  <si>
    <t>Deze kosten worden direct in aftrek gebracht</t>
  </si>
  <si>
    <t>De bepaling van de actuele waarde moet voldoende regelmatig plaatsvinden. Bij weinig schommelingen in de actuele kostprijs volstaat herwaardering om de drie of vijf jaar.</t>
  </si>
  <si>
    <t>RJ 212.408</t>
  </si>
  <si>
    <t>Toelichting is verplicht van:</t>
  </si>
  <si>
    <t>- grondslagen van waardering en afschrijvingsmethode</t>
  </si>
  <si>
    <t xml:space="preserve">- schattingen van levensduur </t>
  </si>
  <si>
    <t>RJ 212.701</t>
  </si>
  <si>
    <t>- geactiveerde rente over vreemd vermogen</t>
  </si>
  <si>
    <t>- wijze van bepaling van de reële waarde</t>
  </si>
  <si>
    <t>- belangrijke contractuele verplichtingen tot aankoop, bouw of ontwikkeling of onderhoud</t>
  </si>
  <si>
    <t>- sluitend verloopoverzicht, waarin ook herclassificaties zijn opgenomen (bij actuele waarde).</t>
  </si>
  <si>
    <t>- de som van herwaarderingen (bij actuele waarde).</t>
  </si>
  <si>
    <t>RJ 213.803
RJk B2.211</t>
  </si>
  <si>
    <t>Als waardering op historische kosten is, zijn de presentatie-eisen gelijk aan die van materiële vaste activa.</t>
  </si>
  <si>
    <t>Bij operationele lease worden de leasetermijnen als kosten geboekt. Onder de niet in de balans opgenomen verplichtingen worden de contractueel te betalen leasetermijnen vermeld, mits materieel van omvang.</t>
  </si>
  <si>
    <t>Deze verplichtingen worden gesplitst in: a) tot 1 jaar, b) 1 tot 5 jaar en c) langer dan 5 jaar.</t>
  </si>
  <si>
    <t>RJ 292.212</t>
  </si>
  <si>
    <t>Besluiten RTB</t>
  </si>
  <si>
    <t>RJk D3.2.202</t>
  </si>
  <si>
    <t>De waarderingsgrondslag wordt vermeld.</t>
  </si>
  <si>
    <t>Als deelnemingen niet tegen netto-vermogenswaarde worden gewaardeerd, moet dit feit worden gemeld.</t>
  </si>
  <si>
    <t>RJ 214.613a</t>
  </si>
  <si>
    <t xml:space="preserve">- toelichting op onbeperkte aansprakelijkheid als vennoot </t>
  </si>
  <si>
    <t>- van effecten hoe met niet duurzame waardeverminderingen rekening wordt gehouden</t>
  </si>
  <si>
    <t>Fiscaal is een kapitaalbelang een deelneming, indien 5% of meer wordt gehouden (eventueel samen met verbonden personen of vennootschappen) van het nominaal gestort aandelenkapitaal van een vennootschap waarvan het kapitaal in aandelen is verdeeld.</t>
  </si>
  <si>
    <t>Voor deze deelnemingen geldt de deelnemingsvrijstelling, waardoor dividenduitkeringen en koerswinsten en -verliezen buiten het fiscale resultaat blijven.</t>
  </si>
  <si>
    <t>Beperking renteaftrek leningen in concernverband</t>
  </si>
  <si>
    <t>VPB 10a</t>
  </si>
  <si>
    <t>Het deel van de vorderingen dat binnen 12 maanden opeisbaar wordt moet worden toegelicht of worden afgesplitst en onder kortlopende vorderingen worden opgenomen.</t>
  </si>
  <si>
    <t>De wijze van presentatie moet worden uiteengezet.</t>
  </si>
  <si>
    <t>RJk A2.107</t>
  </si>
  <si>
    <t>Er is primair onderscheid in ‘gewone’ voorraden en agrarische voorraden.</t>
  </si>
  <si>
    <r>
      <t>Voorinkoopcontracten en voorverkoopcontracten zijn niet-afgewikkelde contracten en worden niet opgenomen als voorraden. De economische voorraad voldoet niet aan de criteria voor opname.</t>
    </r>
    <r>
      <rPr>
        <b/>
        <sz val="10"/>
        <color indexed="8"/>
        <rFont val="Arial"/>
        <family val="2"/>
      </rPr>
      <t xml:space="preserve"> Toepassing van een ‘normale-voorraadbegrip’ is niet toegestaan.</t>
    </r>
  </si>
  <si>
    <t xml:space="preserve">De RJ beveelt LIFO niet aan, hoewel de wet die optie openhoudt. LIFO en soortgelijke methoden geven een onjuist beeld van het vermogen. </t>
  </si>
  <si>
    <r>
      <t xml:space="preserve">Er mag </t>
    </r>
    <r>
      <rPr>
        <b/>
        <sz val="10"/>
        <color indexed="8"/>
        <rFont val="Arial"/>
        <family val="2"/>
      </rPr>
      <t>geen</t>
    </r>
    <r>
      <rPr>
        <sz val="10"/>
        <color indexed="8"/>
        <rFont val="Arial"/>
        <family val="2"/>
      </rPr>
      <t xml:space="preserve"> rekening worden gehouden met ná balansdatum optredende waardeverminderingen.</t>
    </r>
  </si>
  <si>
    <t>De vrijval van de herwaarderingsreserve wordt als afzonderlijke post in de winst-en-verliesrekening verwerkt.</t>
  </si>
  <si>
    <t>RJ 220.501</t>
  </si>
  <si>
    <t>De volgende informatie wordt opgenomen:</t>
  </si>
  <si>
    <t>- de gehanteerde grondslagen voor waardering en resultaatbepaling, waaronder de gebruikte kostprijsmethode ex art. 2:385,2 (zoals FIFO).</t>
  </si>
  <si>
    <t>- het feit dat rente over vreemd vermogen is geactiveerd</t>
  </si>
  <si>
    <t xml:space="preserve">- de wijze van bepaling van de (lagere) opbrengstwaarde </t>
  </si>
  <si>
    <t>- het bedrag van de afwaardering en van verlies van voorraden, de boekwaarde van afgewaardeerde voorraden en het bedrag en omstandigheden van terugnemingen van waardeverminderingen</t>
  </si>
  <si>
    <t>- de boekwaarde van voorraden die ter zekerheid dienen</t>
  </si>
  <si>
    <t>- informatie over de kostprijs van als last verwerkte voorraden</t>
  </si>
  <si>
    <t>- het bedrag van geactiveerde rente</t>
  </si>
  <si>
    <t>De gebruikte winstnemingsmethode en de methode van schatting van het percentage gereedheid worden vermeld.</t>
  </si>
  <si>
    <t>Creditsaldi van debiteuren dienen onder crediteuren te worden opgenomen.</t>
  </si>
  <si>
    <t>Bij afwaardering naar lagere reële waarde moet de methode van afwaardering worden uiteengezet.</t>
  </si>
  <si>
    <t>RJk B6.107</t>
  </si>
  <si>
    <r>
      <t xml:space="preserve">RJ </t>
    </r>
    <r>
      <rPr>
        <b/>
        <sz val="10"/>
        <color indexed="8"/>
        <rFont val="Arial"/>
        <family val="2"/>
      </rPr>
      <t>226</t>
    </r>
    <r>
      <rPr>
        <sz val="10"/>
        <color indexed="8"/>
        <rFont val="Arial"/>
        <family val="2"/>
      </rPr>
      <t>.303</t>
    </r>
  </si>
  <si>
    <t>RJ 420.101
RJk A8.103</t>
  </si>
  <si>
    <t>- totaalbedrag  geplaatste aandelen per soort</t>
  </si>
  <si>
    <t>- op welke post gehouden eigen aandelen in mindering zijn gebracht</t>
  </si>
  <si>
    <t>RJ 240.241
RJk B8.130</t>
  </si>
  <si>
    <t>- van achterstallig dividend op cumulatief-preferente aandelen de omvang en, indien van toepassing, het ontbreken van de goedkeuring tot uitkering.</t>
  </si>
  <si>
    <t>Rechten tot het verkrijgen van aandelen</t>
  </si>
  <si>
    <t>Plicht tot inkoop (eigen) aandelen</t>
  </si>
  <si>
    <t>Het verbonden zijn tot kopen van (eigen) aandelen door de rechtspersoon of een dochtermaatschappij daarvan moet worden toegelicht met minimaal vermelding van nominale waarde en de overeengekomen prijs.</t>
  </si>
  <si>
    <t>RJ 240.240
RJk B8.128</t>
  </si>
  <si>
    <t>In de jaarrekening op fiscale grondslagen is het eigen vermogen in beginsel onderverdeeld zoals in de aangifte VPB.</t>
  </si>
  <si>
    <t>De wettelijke reserve wordt opgenomen voor het aan te houden bedrag, waarbij een eventueel tekort ten laste van de ‘Overige reserves’ komt.</t>
  </si>
  <si>
    <t>RJ 240.230</t>
  </si>
  <si>
    <t>Statutaire reserves</t>
  </si>
  <si>
    <t xml:space="preserve">De statutaire reserve wordt opgenomen voor het volgens de statuten  aan te houden bedrag, waarbij een eventueel tekort ten laste van de ‘Overige reserves’ komt. </t>
  </si>
  <si>
    <t>RJ 240.233</t>
  </si>
  <si>
    <t>Overige reserves zijn vrij uitkeerbaar, mits aan de voorwaarden wordt voldaan (balanstest en uitkeringstoets). Hieronder vallen:</t>
  </si>
  <si>
    <t>BW 2:216</t>
  </si>
  <si>
    <t>- onverdeelde winst (als deze niet afzonderlijk is opgenomen).</t>
  </si>
  <si>
    <t>Voor kleine rechtspersonen is de informatie beperkt tot de wettelijke vereisten. Dit ziet onder meer op art. 2:381,1 en art: 2:383,2.</t>
  </si>
  <si>
    <t>RJk B8.135</t>
  </si>
  <si>
    <t>BW 2:374,4</t>
  </si>
  <si>
    <t>- overige voorzieningen, gesplitst naar aard.</t>
  </si>
  <si>
    <t>Voor iedere categorie voorzieningen moet (volgens RJ) een verloopoverzicht worden gegeven.</t>
  </si>
  <si>
    <t>Toezeggingen aan de dga (met belang van meer dan 10%) mogen in eigen beheer worden gehouden. Zie verder bij ‘WAARDERING’.</t>
  </si>
  <si>
    <t xml:space="preserve">Waardering op fiscale grondslagen is verplicht als de jaarrekening op fiscale grondslagen wordt opgesteld. </t>
  </si>
  <si>
    <t>Voorziening opnemen indien (ook nog na invoering ‘Wet uitfasering pensioen in eigen beheer en overige fiscale pensioenmaatregelen’) sprake is van pensioen in eigen beheer (dga).</t>
  </si>
  <si>
    <t>De gehanteerde berekeningsgrondslagen en rekenrente van een dga-pensioen in eigen beheer moeten worden vermeld.</t>
  </si>
  <si>
    <r>
      <t xml:space="preserve">De afgestempelde post uit pensioen dga betreft dan een verplichting (ODV) die voor de fiscale boekwaarde onder de (langlopende) </t>
    </r>
    <r>
      <rPr>
        <b/>
        <sz val="10"/>
        <color indexed="8"/>
        <rFont val="Arial"/>
        <family val="2"/>
      </rPr>
      <t>schulden</t>
    </r>
    <r>
      <rPr>
        <sz val="10"/>
        <color indexed="8"/>
        <rFont val="Arial"/>
        <family val="2"/>
      </rPr>
      <t xml:space="preserve"> wordt gepresenteerd.</t>
    </r>
  </si>
  <si>
    <t>RJ 271.322</t>
  </si>
  <si>
    <t>Voor andere uitgestelde beloningen beperkt de informatie (zie RJ 271) zich tot wettelijke verplichtingen.</t>
  </si>
  <si>
    <t>RJk B14.128</t>
  </si>
  <si>
    <t>RJ 254.408a</t>
  </si>
  <si>
    <t>- de optie dat na balansdatum is overeengekomen dat een schuld niet binnen 12 maanden opeisbaar is en daarom als langlopend is gepresenteerd (art. 9 BMJ).</t>
  </si>
  <si>
    <t>RJ 254.305
RJk B9.206</t>
  </si>
  <si>
    <t>RJ 254.306</t>
  </si>
  <si>
    <t>RJ 254.408</t>
  </si>
  <si>
    <t>a) te betalen bedragen, last in dit boekjaar verantwoord</t>
  </si>
  <si>
    <t>b) vooruitontvangen bedragen, bate in volgend boekjaar verantwoord.</t>
  </si>
  <si>
    <t>Vakantiegelden en -dagen, inclusief sociale lasten, worden onder dit hoofd opgenomen</t>
  </si>
  <si>
    <t>- volledige aansprakelijkheid als vennoot van een vof of CV</t>
  </si>
  <si>
    <r>
      <t xml:space="preserve">- totaalbedrag langlopende gebruikersrechten, </t>
    </r>
    <r>
      <rPr>
        <b/>
        <sz val="10"/>
        <color indexed="8"/>
        <rFont val="Arial"/>
        <family val="2"/>
      </rPr>
      <t>alleen</t>
    </r>
    <r>
      <rPr>
        <sz val="10"/>
        <color indexed="8"/>
        <rFont val="Arial"/>
        <family val="2"/>
      </rPr>
      <t xml:space="preserve"> voor (middel)groot ook gesplitst naar looptijd van meer dan 1 jaar en meer dan 5 jaar</t>
    </r>
  </si>
  <si>
    <t>- abnormaal grote afname- of leveringsplicht uit in- en verkoopcontracten inzake voorraden</t>
  </si>
  <si>
    <t>Voor kleine rechtspersonen is de informatie over opties beperkt tot de wettelijke vereisten.</t>
  </si>
  <si>
    <t>Werknemers</t>
  </si>
  <si>
    <r>
      <t xml:space="preserve">Als de instelling valt onder de Wet normering topinkomens (WNT), gelden </t>
    </r>
    <r>
      <rPr>
        <b/>
        <sz val="10"/>
        <rFont val="Arial"/>
        <family val="2"/>
      </rPr>
      <t xml:space="preserve">aanvullende toelichtingsvereisten </t>
    </r>
    <r>
      <rPr>
        <sz val="10"/>
        <rFont val="Arial"/>
        <family val="2"/>
      </rPr>
      <t>van die wet inzake de bezoldiging van diverse (top)functionarissen. De vereisten worden regelmatig bijgesteld (zie www.topinkomens.nl).</t>
    </r>
  </si>
  <si>
    <t>De WNT is een zeer complexe wet. Correcte toepassing vereist gedetailleerde kennisname van deze wet en daaruitvoortvloeiende sectorspecifieke bepalingen.</t>
  </si>
  <si>
    <t>De projectkosten worden naar de functie van de kosten gepresenteerd.</t>
  </si>
  <si>
    <t>Van onderhanden projecten worden de gerealiseerde projectopbrengsten verwerkt als netto-omzet.</t>
  </si>
  <si>
    <t>Belastingen als gevolg van een transactie die in het eigen vermogen wordt verwerkt, worden ook direct in het eigen vermogen verwerkt.</t>
  </si>
  <si>
    <t>RJ 272.608
RJk B15.119</t>
  </si>
  <si>
    <t>- De directe methode geeft de operationele kasstroom weer door vermelding van de werkelijke operationele kasontvangsten en kasuitgaven</t>
  </si>
  <si>
    <t xml:space="preserve">Ontvangen en betaalde rente worden onder de kasstromen uit operationele activiteiten, of die uit financieringsactiviteiten opgenomen. </t>
  </si>
  <si>
    <t>Ontvangen dividenden worden opgenomen onder de kasstromen uit operationele activiteiten of die uit financieringsactiviteiten.</t>
  </si>
  <si>
    <t>Betaalde dividenden aan eigen aandeelhouders en aan houders van minderheidsbelangen worden afzonderlijk gepresenteerd.</t>
  </si>
  <si>
    <t>RJ 360.221</t>
  </si>
  <si>
    <t>BW 2:380a
RJ 160.4</t>
  </si>
  <si>
    <t>Overige toelichtingen Algemeen</t>
  </si>
  <si>
    <t>Tevens wordt van de rechtspersoon expliciet in (het algemene gedeelte van) de toelichting vermeld:</t>
  </si>
  <si>
    <t>ALGEMEEN GEDEELTE VAN DE TOELICHTING</t>
  </si>
  <si>
    <t xml:space="preserve">Voor zover niet elders in de jaarrekening opgenomen, vermeldt het algemene gedeelte van de toelichting: </t>
  </si>
  <si>
    <t xml:space="preserve">- de grondslagen van waardering van activa en passiva en de resultaatbepaling, waaronder de kosten die in de voorraden zijn begrepen </t>
  </si>
  <si>
    <t xml:space="preserve">- de wijzigingen in de grondslagen en in de presentatie, alsmede de reden daarvoor en de invloed op de cijfers </t>
  </si>
  <si>
    <t xml:space="preserve">- de behandeling van belastingen, vreemde valuta, immateriële vaste activa en belangrijke bijzondere voorzieningen </t>
  </si>
  <si>
    <t>- de doorslaggevende betekenis van bepaalde gebeurtenissen voor de interpretatie van de jaarrekening.</t>
  </si>
  <si>
    <t>RJ 300.105
RJk B18.104</t>
  </si>
  <si>
    <t>BW 2:363,4
BW 2:363,5</t>
  </si>
  <si>
    <t>En tevens vermelding van:</t>
  </si>
  <si>
    <t>- overnemingen en nieuwe consolidaties met de invloed op de cijfers.</t>
  </si>
  <si>
    <t>- de activiteiten, voor zover van toepassing aangevuld met verliesgevendheid en/of discontinuïteit daarvan</t>
  </si>
  <si>
    <t>- het adres als dit afwijkt van de statutaire vestigingsplaats</t>
  </si>
  <si>
    <t>Voor zover van toepassing worden de consolidatiegrondslagen vermeld</t>
  </si>
  <si>
    <t>RJ 300.103</t>
  </si>
  <si>
    <t>RJ 300.103
RJk B18.102</t>
  </si>
  <si>
    <t>Daarnaast worden opgenomen wettelijk verplichte en overige detailleringen en informatie die naar aard of gebruik geen plaats heeft in de balans en winst-en-verliesrekening.</t>
  </si>
  <si>
    <t>BW 2: 392,1f</t>
  </si>
  <si>
    <t>Voor microrechtspersonen is in de RJk een hoofdstuk opgenomen</t>
  </si>
  <si>
    <t>Het microregime is niet van toepassing op beleggingsmaatschappijen of maatschappij voor collectieve belegging in effecten waarvoor BW 2:401,1 geldt, participatiemaatschappijen en organisaties van openbaar belang.</t>
  </si>
  <si>
    <t>FISCALE GRONDSLAGEN</t>
  </si>
  <si>
    <t>De Wet normering topinkomens (WNT) kan van toepassing zijn, waardoor aanvullende toelichtingsvereisten gelden.</t>
  </si>
  <si>
    <t>RJ 650
RJk C2</t>
  </si>
  <si>
    <t>- giften en baten uit fondsenwerving</t>
  </si>
  <si>
    <t>Voor onroerende zaken mag hiervoor de laatst beschikbare WOZ-waarde worden gehanteerd.</t>
  </si>
  <si>
    <t>Als een nalatenschap is belast met vruchtgebruik wordt bij de waardering met dit recht van vruchtgebruik rekening gehouden. Het is aanvaardbaar voor het vruchtgebruik de fiscale waarde te hanteren.</t>
  </si>
  <si>
    <t>Kleine rechtspersonen moeten alleen de wijze van verwerking van de fusie of overname toelichten.</t>
  </si>
  <si>
    <t>RJk B3.203</t>
  </si>
  <si>
    <t>RJ 217.602</t>
  </si>
  <si>
    <t>Na de eerste verwerking wordt verschillend gewaardeerd, afhankelijk van de aard van het financieel instrument. Hiertoe worden de instrumenten individueel of op portefeuillebasis toegedeeld naar (sub)categorieën en daarbinnen wordt één grondslag toegepast.</t>
  </si>
  <si>
    <t>Na de eerste verwerking wordt als volgt gewaardeerd:</t>
  </si>
  <si>
    <t>2. derivaten (afhankelijk van de subcategorie waartoe ze behoren):</t>
  </si>
  <si>
    <t>RJ 430.101</t>
  </si>
  <si>
    <t>RJ 430.104</t>
  </si>
  <si>
    <t>Kerncijfers</t>
  </si>
  <si>
    <t>Ook de consolidatiegrondslagen worden uiteengezet, indien van toepassing.</t>
  </si>
  <si>
    <t>Winsten en verliezen mogen door middelgrote rechtspersonen worden omgerekend tegen balanskoers in plaats van tegen transactiekoersen.</t>
  </si>
  <si>
    <t>Uit de jaarrekening moeten de bedragen blijken van:</t>
  </si>
  <si>
    <t>Afboeking van herinvesteringsreserve vindt plaats op het bedrijfsmiddel van herinvestering of na maximaal drie jaren vrijval.</t>
  </si>
  <si>
    <t>- voor het totaal van de schulden tot welk bedrag de resterende looptijd langer is dan 5 jaar</t>
  </si>
  <si>
    <t>De kerncijfers en kengetallen zijn niet altijd direct uit de jaarrekening af te leiden. In dat geval moeten ze duidelijk worden omschreven en toegelicht. Bovendien mogen ze niet meer nadruk krijgen dan direct af te leiden kerncijfers en kengetallen.</t>
  </si>
  <si>
    <t>- beperkte gebruiksrechten;</t>
  </si>
  <si>
    <t>Aanschrijving Belastingdienst
'Uitwerking waardering onderhanden werk'</t>
  </si>
  <si>
    <t>Dga-pensioen in eigen beheer</t>
  </si>
  <si>
    <t>Overige pensioenvoorzieningen</t>
  </si>
  <si>
    <t>Indien langlopend wordt toegelicht</t>
  </si>
  <si>
    <t>Indien (mogelijk) niet meer langlopend</t>
  </si>
  <si>
    <t>Zie voor goodwill verkregen bij overnames 'Financiële vaste activa: Goodwill in deelnemingen'.</t>
  </si>
  <si>
    <t>Uitzonderingen op de opgave zijn:</t>
  </si>
  <si>
    <t/>
  </si>
  <si>
    <t>Zie verder ‘Opties’.</t>
  </si>
  <si>
    <t>Zie Financiële analyses en kengetallen voor kerncijfers, kengetallen en meerjarenoverzichten.</t>
  </si>
  <si>
    <t>Dit is beschreven in het tabblad Accountantscontrole</t>
  </si>
  <si>
    <r>
      <t xml:space="preserve">Daarom heeft de splitsing van de wettelijke en overige toelichtingen in de RJk niet of nauwelijks betekenis voor dit hoofdstuk.De wettelijke verplichtingen zijn in beginsel zoals weergegeven in </t>
    </r>
    <r>
      <rPr>
        <sz val="10"/>
        <rFont val="Arial"/>
        <family val="2"/>
      </rPr>
      <t>kolom ‘Klein’ in de verschillende tabbladen</t>
    </r>
    <r>
      <rPr>
        <sz val="10"/>
        <color indexed="60"/>
        <rFont val="Arial"/>
        <family val="2"/>
      </rPr>
      <t>.</t>
    </r>
  </si>
  <si>
    <t>Zie verder tabblad Grondslagen en uitgangpunten: Vreemde valuta.</t>
  </si>
  <si>
    <t>Zie tabblad Winst- en verliesrekening onder ‘lonen en salarissen’.</t>
  </si>
  <si>
    <t>Er moet rekening gehouden worden met bijzondere waardeverminderingen (zie tabblad Grondslagen en uitgangspunten onderdeel Bijzondere waardeverminderingen).</t>
  </si>
  <si>
    <r>
      <t xml:space="preserve">Een afstempeling ná balansdatum, maar voor opmaken van de jaarrekening wordt in beginsel als </t>
    </r>
    <r>
      <rPr>
        <b/>
        <sz val="10"/>
        <color indexed="8"/>
        <rFont val="Arial"/>
        <family val="2"/>
      </rPr>
      <t>gebeurtenis na balansdatum</t>
    </r>
    <r>
      <rPr>
        <sz val="10"/>
        <color indexed="8"/>
        <rFont val="Arial"/>
        <family val="2"/>
      </rPr>
      <t xml:space="preserve"> opgenomen. Zie tabblad Gebeurtenissen na balansdatum.</t>
    </r>
  </si>
  <si>
    <t>Er kan een voorziening worden gevormd indien voldaan wordt aan de voorwaarden van het Baksteenarrest (zie tabblad Voorzieningen algmeen onder 'Fiscaal'). Een fiscale egalisatiereserve voor afvloeiingsregelingen is niet toegestaan.</t>
  </si>
  <si>
    <t>a. belangrijke gebeurtenissen na balansdatum die niet in de balans of winst-en-verliesrekening zijn opgenomen (zie verder tabblad Gebeurtenissen na balansdatum).</t>
  </si>
  <si>
    <t>Zie verder tabblad Concernverhoudingen bij ‘waardering’.</t>
  </si>
  <si>
    <t>Indien de instelling valt onder de Wet normering topinkomens (WNT) gelden aanvullende toelichtingsvereisten. Zie ook tabblad Winst- en verliesrekening - categoriale indeling onder 'Lonen en Salarissen'</t>
  </si>
  <si>
    <t>RJk D4</t>
  </si>
  <si>
    <t>Er wordt valutarisico gelopen over monetaire posten die feitelijk deel vormen van de netto-investering als die post niet in de nabije toekomst wordt afgewikkeld.</t>
  </si>
  <si>
    <t>RJ 122.112
RJ 122.211</t>
  </si>
  <si>
    <t>Cryptocurrencies kwalificeren niet als liquide middelen want ze zijn niet door of namens een overheid uitgegeven.</t>
  </si>
  <si>
    <t>Afhankelijk van de doelstelling kunnen cryptocurrencies worden aangemerkt als:</t>
  </si>
  <si>
    <t xml:space="preserve">- immateriële vast activa </t>
  </si>
  <si>
    <t>- voorraden</t>
  </si>
  <si>
    <t>- andere beleggingen: aanhouden om opbrengsten, waardestijging of beide te realiseren</t>
  </si>
  <si>
    <t>RJ-Uiting 2018-7</t>
  </si>
  <si>
    <t>RJ 290.533 e.v.</t>
  </si>
  <si>
    <t>Immateriële vaste activa algemeen</t>
  </si>
  <si>
    <t>Voor goodwill die van derden is verkregen is waardering op actuele waarde niet toegestaan.</t>
  </si>
  <si>
    <t>BW 2:385,4
RJ 210.301</t>
  </si>
  <si>
    <t>Materiële vaste activa algemeen</t>
  </si>
  <si>
    <t>- in de boekwaarde van het actief indien wordt voldaan aan de criteria voor opname in de balans van materiële vaste activa</t>
  </si>
  <si>
    <t>De WOZ waarde voor onroerende zaken is in het algemeen niet bruikbaar. Dit betreft een indicatie voor de waarde in vrije staat (de directe opbrengstwaarde).</t>
  </si>
  <si>
    <t>Onroerende zaken die niet in eigen gebruik zijn, mogen tegen reële waarde worden gewaardeerd. Er wordt niet systematisch op afgeschreven. Het alternatief is waardering op kostprijs verminderd met afschrijvingen. De gekozen waarderingsmethode moet voor alle vastgoedbeleggingen worden toegepast.</t>
  </si>
  <si>
    <t>RJ 213.501
RJ 213.515</t>
  </si>
  <si>
    <t>Financiële vaste activa algemeen</t>
  </si>
  <si>
    <t xml:space="preserve">De netto-vermogenswaarde wordt bepaald door de afzonderlijke activa en passiva te waarderen volgens de grondslagen van de moedermaatschappij. </t>
  </si>
  <si>
    <t>Bijzondere waardeverminderingen worden behandeld in hoofdstuk E bij ‘waardering’.</t>
  </si>
  <si>
    <t>Bijzondere waardevermindering van financiële (vaste) activa wordt behandeld in hoofdstuk E bij ‘waardering’</t>
  </si>
  <si>
    <t>RJ 220.101</t>
  </si>
  <si>
    <t>RJ 220.105</t>
  </si>
  <si>
    <t>RJ 220.201</t>
  </si>
  <si>
    <t>RJ 220.304</t>
  </si>
  <si>
    <t>RJ 220.310</t>
  </si>
  <si>
    <t>RJ 220.324</t>
  </si>
  <si>
    <t>RJ 220.322</t>
  </si>
  <si>
    <t>Agrarische voorraden en actuele waarde</t>
  </si>
  <si>
    <t xml:space="preserve">Indien agrarische voorraden tegen actuele waarde worden gewaardeerd, komt de opbrengstwaarde in aanmerking. </t>
  </si>
  <si>
    <t>BW 2:390,1
RJ 220.405
RJ 220.406</t>
  </si>
  <si>
    <t>RJ 220.402</t>
  </si>
  <si>
    <t>RJ 220.604</t>
  </si>
  <si>
    <t>RJ 220.603</t>
  </si>
  <si>
    <r>
      <t xml:space="preserve">In het </t>
    </r>
    <r>
      <rPr>
        <b/>
        <i/>
        <sz val="10"/>
        <color indexed="8"/>
        <rFont val="Arial"/>
        <family val="2"/>
      </rPr>
      <t>functionele model</t>
    </r>
    <r>
      <rPr>
        <sz val="10"/>
        <color indexed="8"/>
        <rFont val="Arial"/>
        <family val="2"/>
      </rPr>
      <t xml:space="preserve"> wordt de opbrengst (de kosten, verhoogd met winstopslag), als netto omzet gepresenteerd.</t>
    </r>
  </si>
  <si>
    <t xml:space="preserve">Fiscaal worden fiscale reserves en voorzieningen onderscheiden. </t>
  </si>
  <si>
    <t>Waardering vindt plaats tegen nominale  waarde of tegen contante waarde. Daarbij moet rekening worden gehouden met de belastingpercentages van het verwachte verrekeningsjaar die op balansdatum bekend zijn.</t>
  </si>
  <si>
    <t>RJ 272.401 
RJ 272.404</t>
  </si>
  <si>
    <t>Indien contante waarde: rekenrente ná belastingen hanteren (omdat deze fiscaal niet in aanmerking genomen kan worden). Daarbij moet zo mogelijk de levensduur in acht worden genomen.</t>
  </si>
  <si>
    <t>Op elke balansdatum moet de waarde van een latente belastingvordering worden beoordeeld en zo nodig aangepast.</t>
  </si>
  <si>
    <t>RJ 272.406</t>
  </si>
  <si>
    <t>De garantievoorziening wordt gevormd voor de kosten van reparatie of vervanging.</t>
  </si>
  <si>
    <t>Waardering vindt veelal plaats op basis van de beste schatting van de te vergoeden kosten voor prestaties die zijn verricht vóór balansdatum.</t>
  </si>
  <si>
    <t>Dit geldt zowel voor in rechte afdwingbare verplichtingen als wanneer dit als service algemeen bekend en gebruikelijk is.</t>
  </si>
  <si>
    <r>
      <rPr>
        <b/>
        <sz val="10"/>
        <color indexed="8"/>
        <rFont val="Arial"/>
        <family val="2"/>
      </rPr>
      <t>Dga-pensioen:</t>
    </r>
    <r>
      <rPr>
        <sz val="10"/>
        <color indexed="8"/>
        <rFont val="Arial"/>
        <family val="2"/>
      </rPr>
      <t xml:space="preserve"> Voor de verwerking van pensioenlasten inzake de pensioentoezegging in eigen beheer voor een dga geldt de toelichting in </t>
    </r>
    <r>
      <rPr>
        <i/>
        <sz val="10"/>
        <color indexed="8"/>
        <rFont val="Arial"/>
        <family val="2"/>
      </rPr>
      <t>pensioenvoorzieningen</t>
    </r>
  </si>
  <si>
    <t>BW 2:377.8
RJ 270.404</t>
  </si>
  <si>
    <t>De belastingdruk wordt over het economisch resultaat berekend. Dat houdt in dat voor een belastbaar tijdelijk verschil een voorziening voor latente belastingen wordt opgenomen.</t>
  </si>
  <si>
    <t>Voor verrekenbare tijdelijke verschillen wordt een latente belastingvordering opgenomen als deze waarschijnlijk gerealiseerd wordt.</t>
  </si>
  <si>
    <t>Voor tijdelijke verschillen die in de toekomst niet leiden tot belastingdruk, wordt geen latente belasting berekend.</t>
  </si>
  <si>
    <t>RJ 272.402a</t>
  </si>
  <si>
    <t>Aan te bevelen is de wijze van doorbelasting contractueel vast te leggen. Toegestaan is:</t>
  </si>
  <si>
    <t>RJ 272.803</t>
  </si>
  <si>
    <t>Baten en lasten door het effect van een wijziging van het tarief of door andere waarderingsverschillen op (latente) belastingen worden onder belastingen verantwoord. Zij moeten uit de toelichting afzonderlijk blijken.</t>
  </si>
  <si>
    <t>RJ 272.403a
RJ 272.406
RJk B15.117</t>
  </si>
  <si>
    <r>
      <t>Het bestuursverslag geeft verwijzingen naar en aanvullende uitleg over jaarrekeningposten. Dit kan ook kerncijfers, kengetallen en meerjarenoverzichten betreffen (</t>
    </r>
    <r>
      <rPr>
        <sz val="10"/>
        <rFont val="Arial"/>
        <family val="2"/>
      </rPr>
      <t>zie Financiële analyses en kengetallen)</t>
    </r>
    <r>
      <rPr>
        <sz val="10"/>
        <color indexed="8"/>
        <rFont val="Arial"/>
        <family val="2"/>
      </rPr>
      <t>.</t>
    </r>
  </si>
  <si>
    <t>* Deze gegevens mogen ten kantore van de vennootschap worden gehouden ter inzage van eenieder en op verzoek dient (ten hoogste tegen kostprijs) een afschrift te worden verstrekt. Ze worden dan niet gedeponeerd.</t>
  </si>
  <si>
    <t>Tussentijdse berichten</t>
  </si>
  <si>
    <t>RJk M1.202
RJk D3.1.305</t>
  </si>
  <si>
    <r>
      <rPr>
        <b/>
        <sz val="10"/>
        <color indexed="8"/>
        <rFont val="Arial"/>
        <family val="2"/>
      </rPr>
      <t>LET OP:</t>
    </r>
    <r>
      <rPr>
        <sz val="10"/>
        <color indexed="8"/>
        <rFont val="Arial"/>
        <family val="2"/>
      </rPr>
      <t xml:space="preserve"> Microrechtspersonen mogen afzien van het opnemen van overlopende activa en passiva inzake ‘Overige bedrijfskosten’. Dit is echter fiscaal niet aanvaardbaar.</t>
    </r>
  </si>
  <si>
    <r>
      <t xml:space="preserve">Voor </t>
    </r>
    <r>
      <rPr>
        <b/>
        <sz val="10"/>
        <color indexed="8"/>
        <rFont val="Arial"/>
        <family val="2"/>
      </rPr>
      <t>Fondsenwervende instellingen</t>
    </r>
    <r>
      <rPr>
        <sz val="10"/>
        <color indexed="8"/>
        <rFont val="Arial"/>
        <family val="2"/>
      </rPr>
      <t xml:space="preserve"> gelden verdergaande richtlijnen (niet opgenomen in deze checklist).</t>
    </r>
  </si>
  <si>
    <t>- toelichtingseis bij geactiveerde oprichtings-, emissie- en ontwikkelingskosten</t>
  </si>
  <si>
    <t>- verloop eigen vermogen</t>
  </si>
  <si>
    <t>- toelichtingseis van het niet toepassen van netto-vermogenswaarde op deelnemingen</t>
  </si>
  <si>
    <t>- vormen van herwaarderingsreserve bij ­toepassing van actuele waarde</t>
  </si>
  <si>
    <t xml:space="preserve">- geen uitsplitsing voorraden als dit een ­onevenredige inspanning vergt
</t>
  </si>
  <si>
    <t xml:space="preserve">- als een buitenlandse rechtspersoon mede aan het hoofd van de groep staat mag dat groepsdeel volgens het buitenlands recht worden geconsolideerd. Invloed hiervan op vermogen en resultaat moet worden toegelicht
</t>
  </si>
  <si>
    <t>Fiscaal</t>
  </si>
  <si>
    <t>Fiscale eenheid is mogelijk voor belangen die ten minste 95% bedragen. Daardoor worden winsten en verliezen binnen een boekjaar eerst met elkaar verrekend. Daarna vindt voorwaartse of achterwaartse compensatie plaats. Compensatie van winsten en verliezen over de voegingsdatum heen is alleen mogelijk als het resultaten betreft die uit dezelfde vennootschap stammen.</t>
  </si>
  <si>
    <t>Bij toepassing van de vermogensmutatiemethode wordt de deelneming beschouwd als een samenstel van activa en passiva. De eliminatie ziet op de betreffende posten en houdt rekening met de nog niet gerealiseerde resultaten.</t>
  </si>
  <si>
    <t>RJ 260.201</t>
  </si>
  <si>
    <t>Alleen bij een overname die plaatsvindt tussen rechtspersonen die onder gemeenschappelijke leiding staan bestaat de keuze uit het toepassen van de ‘purchase accounting’-methode, de ‘pooling of interests’-methode en ‘carry over accounting’-methode. 
Bij die laatste methode worden de boekwaarden per overnamedatum samengevoegd. De ‘purchase accounting’ methode mag alleen worden toegepast als daarmee recht wordt gedaan aan de economische realiteit van de transactie.</t>
  </si>
  <si>
    <t>RJk A2.404</t>
  </si>
  <si>
    <t xml:space="preserve">Als aan deze voorwaarden niet is voldaan wordt het financieel instrument vermeld onder de niet in de balans opgenomen activa en verplichtingen. </t>
  </si>
  <si>
    <t>Als (nagenoeg) alle rechten en risico’s zijn overgedragen aan een derde wordt een financieel instrument niet langer in de balans opgenomen.</t>
  </si>
  <si>
    <t xml:space="preserve">RJ 115.104
RJ 115.105
</t>
  </si>
  <si>
    <t>RJ 290.702</t>
  </si>
  <si>
    <t>Bijzondere waardeverminderingen (zie ook paragraaf A5) kunnen optreden bij financiële activa die tegen (geamortiseerde) kostprijs worden gewaardeerd. Dit gebeurt eerst op individuele basis en op grond van objectieve aanwijzingen. Deze worden direct in de winst-en-verliesrekening verantwoord. Dat geldt ook voor derivaten (opgetreden kredietverlies of ‘incurred credit loss’).</t>
  </si>
  <si>
    <t>RJ 290.533 
RJ 290.536
RJ 290.537</t>
  </si>
  <si>
    <t>Deelnemingen zijn een samenstel van activa en passiva als zij volgens de vermogensmutatiemethode worden gewaardeerd. Dat geldt ook voor de identificatie van bijzondere waardeverminderingen, waarbij de waardering moet aansluiten op de (hierboven beschreven) methode</t>
  </si>
  <si>
    <t>RJ 290.533 e.v. óf 
RJ 290.101</t>
  </si>
  <si>
    <r>
      <t xml:space="preserve">Het is voor </t>
    </r>
    <r>
      <rPr>
        <b/>
        <sz val="10"/>
        <color indexed="8"/>
        <rFont val="Arial"/>
        <family val="2"/>
      </rPr>
      <t>micro- en kleine</t>
    </r>
    <r>
      <rPr>
        <sz val="10"/>
        <color indexed="8"/>
        <rFont val="Arial"/>
        <family val="2"/>
      </rPr>
      <t xml:space="preserve"> rechtspersonen toegestaan fiscale waarderingsgrondslagen te hanteren, mits de rechtspersoon fiscale grondslagen op het gehele financiële overzicht toepast. Indien de rechtspersoon deze grondslagen toepast, maakt zij daarvan melding in de toelichting.</t>
    </r>
  </si>
  <si>
    <r>
      <t xml:space="preserve">Toelichting bij toepassing </t>
    </r>
    <r>
      <rPr>
        <b/>
        <sz val="10"/>
        <color indexed="8"/>
        <rFont val="Arial"/>
        <family val="2"/>
      </rPr>
      <t>actuele waarde</t>
    </r>
    <r>
      <rPr>
        <sz val="10"/>
        <color indexed="8"/>
        <rFont val="Arial"/>
        <family val="2"/>
      </rPr>
      <t>:</t>
    </r>
  </si>
  <si>
    <r>
      <t xml:space="preserve">Toelichting bij toepassing fiscale grondslagen betreft onder meer het noemen van posten met een </t>
    </r>
    <r>
      <rPr>
        <b/>
        <sz val="10"/>
        <color indexed="8"/>
        <rFont val="Arial"/>
        <family val="2"/>
      </rPr>
      <t>materieel verschil met de commerciële waardering.</t>
    </r>
  </si>
  <si>
    <r>
      <t xml:space="preserve">Indien nodig voor het inzicht moet bij historische prijsgrondslag een </t>
    </r>
    <r>
      <rPr>
        <b/>
        <sz val="10"/>
        <color indexed="8"/>
        <rFont val="Arial"/>
        <family val="2"/>
      </rPr>
      <t>materieel verschil met de actuele waarde</t>
    </r>
    <r>
      <rPr>
        <sz val="10"/>
        <color indexed="8"/>
        <rFont val="Arial"/>
        <family val="2"/>
      </rPr>
      <t xml:space="preserve"> worden toegelicht.</t>
    </r>
  </si>
  <si>
    <r>
      <rPr>
        <b/>
        <sz val="10"/>
        <color indexed="8"/>
        <rFont val="Arial"/>
        <family val="2"/>
      </rPr>
      <t>Onzekerheden</t>
    </r>
    <r>
      <rPr>
        <sz val="10"/>
        <color indexed="8"/>
        <rFont val="Arial"/>
        <family val="2"/>
      </rPr>
      <t xml:space="preserve"> worden naar aard en omvang toegelicht als dat voor het vereiste inzicht noodzakelijk is.</t>
    </r>
  </si>
  <si>
    <r>
      <t xml:space="preserve">Bijzondere waardeverminderingen bij </t>
    </r>
    <r>
      <rPr>
        <b/>
        <sz val="10"/>
        <color indexed="8"/>
        <rFont val="Arial"/>
        <family val="2"/>
      </rPr>
      <t>financiële (vaste) activa</t>
    </r>
    <r>
      <rPr>
        <sz val="10"/>
        <color indexed="8"/>
        <rFont val="Arial"/>
        <family val="2"/>
      </rPr>
      <t xml:space="preserve"> worden behandeld in hoofdstuk E bij ‘waardering’.</t>
    </r>
  </si>
  <si>
    <r>
      <t xml:space="preserve">Onderzoekskosten mogen </t>
    </r>
    <r>
      <rPr>
        <b/>
        <sz val="10"/>
        <color indexed="8"/>
        <rFont val="Arial"/>
        <family val="2"/>
      </rPr>
      <t>niet</t>
    </r>
    <r>
      <rPr>
        <sz val="10"/>
        <color indexed="8"/>
        <rFont val="Arial"/>
        <family val="2"/>
      </rPr>
      <t xml:space="preserve"> geactiveerd worden.</t>
    </r>
  </si>
  <si>
    <t xml:space="preserve">De eerste waardering is tegen de verkrijgingsprijs inclusief de transactiekosten. </t>
  </si>
  <si>
    <t>Bij zelf vervaardigd beleggingsvastgoed moet op de bestede kosten worden gewaardeerd.</t>
  </si>
  <si>
    <t xml:space="preserve">RJ 213.301
</t>
  </si>
  <si>
    <t>RJ 213.303</t>
  </si>
  <si>
    <t>RJ 220.316</t>
  </si>
  <si>
    <t>RJ 220.321</t>
  </si>
  <si>
    <t>Onder substantialistische stelsels vallen: ijzeren voorraadstelsels en LIFO.</t>
  </si>
  <si>
    <r>
      <rPr>
        <b/>
        <sz val="10"/>
        <color indexed="8"/>
        <rFont val="Arial"/>
        <family val="2"/>
      </rPr>
      <t>Publiek-private concessieovereenkomsten</t>
    </r>
    <r>
      <rPr>
        <sz val="10"/>
        <color indexed="8"/>
        <rFont val="Arial"/>
        <family val="2"/>
      </rPr>
      <t xml:space="preserve"> betreffen langlopende overeenkomsten waarbij de concessienemer een bepaalde infrastructuur bouwt en/of onderhoudt en gedurende een langere periode exploiteert. Voorbeelden van infrastructuur zijn (tol)wegen, ziekenhuizen en luchthavens.</t>
    </r>
  </si>
  <si>
    <r>
      <t xml:space="preserve">De aard, het zakelijk doel en de financiële gevolgen van de niet in de balans opgenomen </t>
    </r>
    <r>
      <rPr>
        <b/>
        <sz val="10"/>
        <color indexed="8"/>
        <rFont val="Arial"/>
        <family val="2"/>
      </rPr>
      <t>regelingen</t>
    </r>
    <r>
      <rPr>
        <sz val="10"/>
        <color indexed="8"/>
        <rFont val="Arial"/>
        <family val="2"/>
      </rPr>
      <t xml:space="preserve"> moet worden beschreven, indien van betekenis voor de beoordeling van de financiële positie.</t>
    </r>
  </si>
  <si>
    <t>IFRS 15
RJ 270.101a
RJk B13.101a</t>
  </si>
  <si>
    <t>Maatschappelijke aspecten van ondernemen</t>
  </si>
  <si>
    <r>
      <t xml:space="preserve">Voor de grote rechtspersoon gelden </t>
    </r>
    <r>
      <rPr>
        <b/>
        <sz val="10"/>
        <color indexed="8"/>
        <rFont val="Arial"/>
        <family val="2"/>
      </rPr>
      <t>geen</t>
    </r>
    <r>
      <rPr>
        <sz val="10"/>
        <color indexed="8"/>
        <rFont val="Arial"/>
        <family val="2"/>
      </rPr>
      <t xml:space="preserve"> vereenvoudigingen voor de grondslagen en de overige toelichting.</t>
    </r>
  </si>
  <si>
    <r>
      <t xml:space="preserve">Dit betekent tevens dat betreffende entiteiten </t>
    </r>
    <r>
      <rPr>
        <b/>
        <sz val="10"/>
        <color indexed="8"/>
        <rFont val="Arial"/>
        <family val="2"/>
      </rPr>
      <t>niet</t>
    </r>
    <r>
      <rPr>
        <sz val="10"/>
        <color indexed="8"/>
        <rFont val="Arial"/>
        <family val="2"/>
      </rPr>
      <t xml:space="preserve"> fiscale grondslagen mogen toepassen.</t>
    </r>
  </si>
  <si>
    <t>RJk M1.302</t>
  </si>
  <si>
    <t>BESTEDINGSRESERVE (FISCAAL)</t>
  </si>
  <si>
    <t>Het wordt sterk aanbevolen een kasstroomoverzicht op te nemen.</t>
  </si>
  <si>
    <t>RJk B10.109
RJk C1.310</t>
  </si>
  <si>
    <t xml:space="preserve">Bijzondere waardeverminderingen </t>
  </si>
  <si>
    <t>IFRS 9
RJ 290.101</t>
  </si>
  <si>
    <t>Herclassificatie</t>
  </si>
  <si>
    <r>
      <t xml:space="preserve">De in RJ 305 opgenomen vrijstellingen voor </t>
    </r>
    <r>
      <rPr>
        <b/>
        <sz val="10"/>
        <color indexed="8"/>
        <rFont val="Arial"/>
        <family val="2"/>
      </rPr>
      <t>groepsmaatschappijen</t>
    </r>
    <r>
      <rPr>
        <sz val="10"/>
        <color indexed="8"/>
        <rFont val="Arial"/>
        <family val="2"/>
      </rPr>
      <t xml:space="preserve"> zijn wél van toepassing.</t>
    </r>
  </si>
  <si>
    <t>5. investering in eigenvermogensinstrumenten 
    (geen handelsportefeuille):</t>
  </si>
  <si>
    <t>Financiële kengetallen en Basel II/III/IV</t>
  </si>
  <si>
    <t>- in de voorziening groot onderhoud</t>
  </si>
  <si>
    <t>OVERIGE VOORZIENINGEN</t>
  </si>
  <si>
    <t>Zie verder Belasting naar de winst</t>
  </si>
  <si>
    <t>Voor de diverse waarderingsgrondslagen zie Financiële vaste activa</t>
  </si>
  <si>
    <t>3434 PV Utrecht</t>
  </si>
  <si>
    <t>Rijnzathe 14</t>
  </si>
  <si>
    <r>
      <t xml:space="preserve">De inrichtings- en publicatievoorschriften voor </t>
    </r>
    <r>
      <rPr>
        <b/>
        <sz val="10"/>
        <color indexed="8"/>
        <rFont val="Arial"/>
        <family val="2"/>
      </rPr>
      <t>kleine rechtspersonen</t>
    </r>
    <r>
      <rPr>
        <sz val="10"/>
        <color indexed="8"/>
        <rFont val="Arial"/>
        <family val="2"/>
      </rPr>
      <t xml:space="preserve"> zijn opgenomen in een nieuw hoofdstuk van de RJk.</t>
    </r>
  </si>
  <si>
    <t>Cryptocurrencies</t>
  </si>
  <si>
    <t>- onroerende zaken in eigen gebruik worden niet lager gewaardeerd dan op een bodemwaarde van 100% van de WOZ-waarde (inclusief grondwaarde).Tot 2019 gold een bodemwaarde van 50%. Er is een beperkte overgangsregeling van toepassing. Er hoeft geen correctie plaats te vinden op onroerende zaken die op die datum al verder zijn afgeschreven.</t>
  </si>
  <si>
    <t>- voor onroerende zaken die voor meer dan 70% ter beschikking worden gesteld aan derden (geen 'eigen gebruik') gold al een bodemwaarde van 100% van de WOZ-waarde (inclusief grondwaarde)</t>
  </si>
  <si>
    <t>Er geldt een aftrekuitsluiting of -beperking voor rente die verschuldigd is aan een verbonden lichaam (1/3 belang) en betrekking heeft op een ´besmette handeling´. Besmette handelingen zijn schuldig blijven van dividend, kapitaalterugbetaling door of kapitaalstorting in een verbonden vennootschap (1/3 belang). Ook  het aangaan van een lening ter verwerving van een deelneming kan ‘besmet’ zijn. Als voldoende zakelijk belang kan worden aangetoond, of als de rente bij de ontvangende partij voldoende belast wordt (compenserende heffing), dan zal deze aftrekbeperking niet van toepassing zijn. Op grond van de Wet Spoedreparatie Fiscale eenheid kan art. 10a Wet VPB met terugwerkende kracht naar 01-01-2018 ook binnen fiscale eenheid spelen.</t>
  </si>
  <si>
    <t xml:space="preserve">Onderhanden projecten in opdracht van derden </t>
  </si>
  <si>
    <t>- voor iedere groep van langlopende schulden een mutatieoverzicht</t>
  </si>
  <si>
    <t>- Mag bij vervroegde aflossing na balansdatum dat bedrag als kortlopend worden gerubriceerd. Dit moet ook worden toegelicht</t>
  </si>
  <si>
    <t>- Bij inwerkingtreding van voorwaarden en bepalingen bij langlopende schulden, waardoor deze feitelijk kortlopend worden, moet deze situatie worden toegelicht. Dit geldt ook bij benadering van die situatie ná balansdatum.</t>
  </si>
  <si>
    <t xml:space="preserve">Baten en lasten die aan een ander boekjaar moeten worden toegerekend, worden naar aard en omvang toegelicht. </t>
  </si>
  <si>
    <t>RJ 272.602
RJk B15.119</t>
  </si>
  <si>
    <t>De belangrijkste componenten van de belastinglast of -bate moeten afzonderlijk worden toegelicht.</t>
  </si>
  <si>
    <t>RJ 272.702</t>
  </si>
  <si>
    <t>- de relatie tussen de belastinglast- of bate en het resultaat voor belastingen</t>
  </si>
  <si>
    <t>RJ 272.704</t>
  </si>
  <si>
    <t>- toelichting van de nominale waarde bij waardering tegen contante waarde</t>
  </si>
  <si>
    <t>RJ 272.709</t>
  </si>
  <si>
    <t>x, bron aangepast</t>
  </si>
  <si>
    <t>RJ 272.713</t>
  </si>
  <si>
    <t>RJ 272.714</t>
  </si>
  <si>
    <t>RJ 272.715</t>
  </si>
  <si>
    <t>RJ 292.311e 
RJ 292.319b</t>
  </si>
  <si>
    <t>- bij operationele leases: vermelding dat de toegelichte bedragen ook betalingen voor niet-leasebestanddelen uit hoofde van de overeenkomst bevatten</t>
  </si>
  <si>
    <t>RJ 292.212f</t>
  </si>
  <si>
    <t>- toelichting van de nominale waarde, rentevoet en gemiddelde looptijd van latente belastingschulden bij waardering tegen contante waarde</t>
  </si>
  <si>
    <t>- schulden, waarbij voor het totaal van de schulden wordt aangegeven tot welk bedrag deze kortlopend en tot welk bedrag deze langlopend zijn</t>
  </si>
  <si>
    <t>Met overlopende activa en passiva inzake overige bedrijfskosten hoeft geen rekening te worden gehouden. Als de microrechtspersoon gebruikmaakt van de mogelijkheid om geen overlopende activa of passiva op te nemen, wordt dit vermeld onderaan de balans.</t>
  </si>
  <si>
    <r>
      <t xml:space="preserve">Voor gekochte leningen en obligaties, verstrekte leningen en overige vorderingen en voor contracten betreffende financiële garanties en toezeggingen tot het verstrekken van leningen mag bij bijzondere waardeverminderingen en oninbaarheid rekening worden gehouden met te verwachten kredietverliezen (‘expected credit loss’) conform IFRS 9. </t>
    </r>
    <r>
      <rPr>
        <u/>
        <sz val="10"/>
        <color indexed="8"/>
        <rFont val="Arial"/>
        <family val="2"/>
      </rPr>
      <t>Alsdan worden RJ 290.533-540 niet toegepast.</t>
    </r>
  </si>
  <si>
    <t>Het onderscheid tussen een financiële verplichting, een financieel actief of eigen vermogen en schulden wordt in de geconsolideerde jaarrekening gemaakt op basis van de economische realiteit.</t>
  </si>
  <si>
    <t>Als classificatie in de enkelvoudige jaarrekening op basis van de juridische vorm plaatsvindt en het instrument dan als eigen vermogen kwalificeert, vindt verwerking in het eigen vermogen plaats, ook als het instrument op basis van de economische realiteit als vreemd vermogen kwalificeert.</t>
  </si>
  <si>
    <t>RJ 240.207
RJ 240.208</t>
  </si>
  <si>
    <t>Samengestelde instrumenten (de componenten zijn financiële verplichting, financieel actief of eigenvermogensinstrument) moeten worden gesplitst als de delen afzonderlijk identificeerbaar zijn, bijv. warrants.</t>
  </si>
  <si>
    <t>Kerncijfers, kengetallen en meerjarenoverzichten geven kennis van (ontwikkelingen in) financiële positie en resultaten.</t>
  </si>
  <si>
    <t>Als dit voor het inzicht van belang is (zie RJ 110.129) vermeldt de vennootschap waarom een belang van ten minste 20% niet als deelneming is aangemerkt of bij meer dan 20% van het stemrecht geen invloed van betekenis wordt uitgeoefend. Ook als bij minder dan 20% is geoordeeld dat wel een deelneming of invloed van betekenis bestaat, wordt dit toegelicht.</t>
  </si>
  <si>
    <t>Herkwalificatie van vorderingen in kapitaal of kwalificatie van een vordering als 'onzakelijke lening' kan ertoe leiden dat een afwaarderingsverlies fiscaal niet in aftrek wordt genomen.</t>
  </si>
  <si>
    <r>
      <t xml:space="preserve">De afgestempelde aanspraken kunnen ook worden afgekocht. Op dat moment ontstaat </t>
    </r>
    <r>
      <rPr>
        <b/>
        <sz val="10"/>
        <color indexed="8"/>
        <rFont val="Arial"/>
        <family val="2"/>
      </rPr>
      <t>een schuld</t>
    </r>
    <r>
      <rPr>
        <sz val="10"/>
        <color indexed="8"/>
        <rFont val="Arial"/>
        <family val="2"/>
      </rPr>
      <t xml:space="preserve"> inzake de netto verplichting aan de dga (lang- of kortlopend) en inzake loonheffing (kortlopend).</t>
    </r>
  </si>
  <si>
    <t>Kortlopende vorderingen en overlopende activa</t>
  </si>
  <si>
    <t>BW 2:362,2
RJ 420.101
RJk A4.108</t>
  </si>
  <si>
    <t>Er zijn nog twee methoden toegestaan:</t>
  </si>
  <si>
    <t>Netto-omzet is de omzet na aftrek van kortingen en belastingen. De omzet wordt toegerekend aan het jaar waarin de levering/ prestatie heeft plaatsgevonden. Het netto-omzet begrip moet worden geïnterpreteerd vanuit de normale bedrijfsactiviteiten.</t>
  </si>
  <si>
    <t>- in aftrek op de gerelateerde loonkosten.</t>
  </si>
  <si>
    <t xml:space="preserve">- in aftrek op de gerelateerde loonkosten. </t>
  </si>
  <si>
    <t>Als het niet waarschijnlijk is dat de fiscale autoriteiten zullen instemmen met de fiscale aangifte (kan zowel (latente) vorderingen als verplichtingen betreffen) moet van deze onzekerheid een ‘beste schatting’ worden gemaakt. Deze onzekerheid moet in de betreffende (latente) belastingposten worden verwerkt.</t>
  </si>
  <si>
    <t>Een latente belastingvordering moet op een afzonderlijke regel worden opgenomen onder de financiële vaste activa en/of onder de vorderingen. Latente belastingverplichtingen worden opgenomen onder de voorzieningen. In de toelichting staat de wijze van presentatie uiteengezet.</t>
  </si>
  <si>
    <t>Saldering van latente belastingvorderingen en verplichtingen is verplicht indien deze verrekenbaar zijn met dezelfde belastingautoriteit.</t>
  </si>
  <si>
    <t>- vermelding van het bedrag van de voorwaardelijke leasebetalingen dat is verwerkt als opbrengst in de periode</t>
  </si>
  <si>
    <t>Stichtingen en verenigingen zijn vrijgesteld als de winst in een jaar niet meer bedraagt dan € 15.000 of in het jaar en de vier voorafgaande jaren niet meer dan € 75.000</t>
  </si>
  <si>
    <t>Giften aan een ANBI-instelling zijn voor de schenker aftrekbaar voor de vennootschapsbelasting (met maximum) en inkomstenbelasting. De aftrek van giften aan ANBI’s met een culturele doelstelling wordt verhoogd met:</t>
  </si>
  <si>
    <t>Voor boekjaren die aanvangen op of na 1 januari 2020 is deze alinea vervallen.</t>
  </si>
  <si>
    <t>de overgangsbepalingen zijn:
- bij activering prospectief, retrospectief vanaf voorgaand boekjaar of retrospectief conform RJ 140.
- bij verwerking in een voorziening retrospectief conform RJ 140
- bij overgang van een voorziening naar activering retrspectief conform RJ 140, retrospectief vanaf voorgaand of huidig boekjaar</t>
  </si>
  <si>
    <t>- de wijze van verwerking van kosten van herstel en van groot onderhoud (in boekwaarde of in voorziening).</t>
  </si>
  <si>
    <t>- herclassificatie alleen als vastgoed nu wel óf niet meer voldoet aan definitie van vastgoedbelegging, behoudens bij verkoop (dan classificatie handhaven). Ook moet dan de bij de herclassificatie passende reële waarde worden toegepast.</t>
  </si>
  <si>
    <t>RJ 292.101</t>
  </si>
  <si>
    <t xml:space="preserve">De toelichtingsvereisten voor lease zijn gedetailleerd in de RJ 292 opgenomen voor operational en financial lease en voor de lessor en lesee. Hieronder zijn slechts enkele van de belangrijkste toelichtingen vermeld. </t>
  </si>
  <si>
    <t>RJ 292.208d</t>
  </si>
  <si>
    <t>- een looptijdanalyse ingedeeld naar de meest relevante verslagperioden van de toekomstige minimale leasebetalingen</t>
  </si>
  <si>
    <t>RJ 292.212a</t>
  </si>
  <si>
    <t>- vermelding van de cumulatieve voorziening voor oninbaarheid die in mindering is gebracht op de contante waarde van de minimale leasebetalingen (lessor).</t>
  </si>
  <si>
    <t>- het bedrag van de voorwaardelijke leasebetalingen dat als opbrengst is verwerkt in de verslagperiode</t>
  </si>
  <si>
    <t>RJ 292.311e</t>
  </si>
  <si>
    <t>In de leaseregeling is vastgelegd wanneer fiscaal sprake is van operationele leasing en de lessor fiscaal eigenaar is van het door hem op basis van leasing ter beschikking gesteld leaseobject. Dit is vastgelegd in Besluit van 10 december 2019, nr. 2019-166072, Stcrt. 2019, 66228 Dit is het geval als de lessor:</t>
  </si>
  <si>
    <t>In de toelichting onder meer op te nemen:</t>
  </si>
  <si>
    <t>Beperking rente o.g.v. earningsstrippingmaatregel</t>
  </si>
  <si>
    <t>VPB 15b</t>
  </si>
  <si>
    <r>
      <t xml:space="preserve">Als voor opbrengsten en gerelateerde kosten </t>
    </r>
    <r>
      <rPr>
        <b/>
        <sz val="10"/>
        <color indexed="8"/>
        <rFont val="Arial"/>
        <family val="2"/>
      </rPr>
      <t>IFRS 15</t>
    </r>
    <r>
      <rPr>
        <sz val="10"/>
        <color indexed="8"/>
        <rFont val="Arial"/>
        <family val="2"/>
      </rPr>
      <t xml:space="preserve"> wordt toegepast, mag dit ook gelden voor onderhanden projecten. Die waardering volgt dan dus niet paragraaf 1 tot en met 4 van RJ 221.
</t>
    </r>
  </si>
  <si>
    <t>RJ 221.102a
RJk B5.301a</t>
  </si>
  <si>
    <t>De mogelijkheid voor middelgrote en kleine rechtspersonen om altijd de baten en lasten om te kunnen rekenen tegen de slotkoers per balansdatum is vervallen.</t>
  </si>
  <si>
    <t>Indien de classificatie van het financieel instrument is gebaseerd op de juridische vorm en deze vorm afwijkt van de economische realiteit moet de aard van het financieel instrumenten worden toegelicht.</t>
  </si>
  <si>
    <r>
      <t xml:space="preserve">Er mag </t>
    </r>
    <r>
      <rPr>
        <b/>
        <sz val="10"/>
        <rFont val="Arial"/>
        <family val="2"/>
      </rPr>
      <t>geen</t>
    </r>
    <r>
      <rPr>
        <sz val="10"/>
        <rFont val="Arial"/>
        <family val="2"/>
      </rPr>
      <t xml:space="preserve"> rekening worden gehouden met op korte termijn na balansdatum voorzienbare bijzondere waardeverminderingen</t>
    </r>
  </si>
  <si>
    <t>De fiscale waardering van courante effecten is kostprijs, beurskoers of de laagste van beide. Niet-courante effecten worden gewaardeerd op kostprijs. De kostprijs omvat alle uitgaven die met de aankoop verband houden: de aankoopprijs, advies- en bemiddelingskosten, notariskosten etcetera.</t>
  </si>
  <si>
    <t xml:space="preserve">Opname voor zover het waarschijnlijk is dat tijdig toekomstige fiscale winsten beschikbaar zullen zijn. 
</t>
  </si>
  <si>
    <t>- inkoopwaarde omzet/voorraden
- omzet op krediet inclusief btw/debiteuren
- inkopen op krediet inclusief btw/crediteuren</t>
  </si>
  <si>
    <t>Rentabiliteit eigen vermogen:
netto winst/eigen vermogen</t>
  </si>
  <si>
    <t>bedrijfsresultaat/netto-omzet</t>
  </si>
  <si>
    <t>netto-winst/netto-omzet</t>
  </si>
  <si>
    <t>Omzet per werknemer:
Netto-omzet/aantal werknemers</t>
  </si>
  <si>
    <t>Bruto-winst per werknemer:
bruto-winst/aantal werknemers</t>
  </si>
  <si>
    <t>Loonkosten per werknemer:
loon + sociale lasten + pensioenlasten/aantal werknemers</t>
  </si>
  <si>
    <t>Verliezen uit 2013 en later worden met ingang van 01-01-2022 onbeperkt voorwaarts verrekenbaar, waarbij een maximering van het in een jaar te verrekenen verlies gaat gelden (tot een winst van € 1 miljoen 100%, voor de winst daarboven 50%).</t>
  </si>
  <si>
    <t xml:space="preserve">Het aanhouden van buffervermogen is nadelig voor de bank, want daarop valt geen marge te behalen. De invalshoek is om de verschillende posities van klanten te wegen. Dat is niet beperkt tot de strikt financiële ratio's. Het eindproduct is een 'rating', die vervolgens het uitgangspunt is voor de kredietverlening en voor de te hanteren risico-opslag. De klant van de bank is uiteraard geïnteresseerd in deze rating. Dat bepaalt immers zijn kosten voor het verkrijgen van een financiering. De accountant van de onderneming kan deze rating voorbereiden of uitvoeren. </t>
  </si>
  <si>
    <t xml:space="preserve">RJ 292.208 
RJ 292.212
RJ 292.311 
RJ 292.319  </t>
  </si>
  <si>
    <t>BW 2:396,5
D4 geeft aan dat waarschijnlijk wordt bedoeld dat ook art. 2:378 lid 2 is vrijgesteld en daarmee deze alinea niet hoeft te worden vermeld.</t>
  </si>
  <si>
    <t>Te verschaffen informatie over deelnemingen </t>
  </si>
  <si>
    <r>
      <rPr>
        <b/>
        <sz val="10"/>
        <color indexed="8"/>
        <rFont val="Arial"/>
        <family val="2"/>
      </rPr>
      <t>Schattingen</t>
    </r>
    <r>
      <rPr>
        <sz val="10"/>
        <color indexed="8"/>
        <rFont val="Arial"/>
        <family val="2"/>
      </rPr>
      <t>: Bij het opstellen van de jaarrekening maakt de leiding beoordelingen en schattingen die een belangrijke invloed hebben op de jaarrekening. Deze moeten worden toegelicht als dat voor het vereiste inzicht noodzakelijk is.</t>
    </r>
  </si>
  <si>
    <r>
      <rPr>
        <sz val="10"/>
        <color indexed="8"/>
        <rFont val="Arial"/>
        <family val="2"/>
      </rPr>
      <t xml:space="preserve">Foutherstel is aan de orde indien een jaarrekening in ernstige mate tekortschiet in het geven van het vereiste inzicht als gevolg van een </t>
    </r>
    <r>
      <rPr>
        <b/>
        <sz val="10"/>
        <color indexed="8"/>
        <rFont val="Arial"/>
        <family val="2"/>
      </rPr>
      <t>materiële</t>
    </r>
    <r>
      <rPr>
        <sz val="10"/>
        <color indexed="8"/>
        <rFont val="Arial"/>
        <family val="2"/>
      </rPr>
      <t xml:space="preserve"> fout.</t>
    </r>
  </si>
  <si>
    <t xml:space="preserve">Als de gebruiksduur of het gebruikspatroon van bestanddelen onderling verschillen, dienen deze bestanddelen afzonderlijk te worden afgeschreven. </t>
  </si>
  <si>
    <t>De keuze tussen actuele inkoopprijs of actuele vervaardigingsprijs sluit aan op de wijze waarop het actief is verkregen (RJ 212.404).</t>
  </si>
  <si>
    <t>Als de actuele kostprijs niet meer betrouwbaar te bepalen is, vindt geen verdere herwaardering meer plaats.</t>
  </si>
  <si>
    <t>RJ 213.113</t>
  </si>
  <si>
    <t>Een beperking om uitkeringen te bewerkstelligen kan bestaan ‘als en voor zover de deelneming geen uitkeringen mag doen die tot gevolg hebben dat zij niet zal kunnen voortgaan met het betalen van haar opeisbare schulden’. Ook andere beperkingen zijn mogelijk, zoals het niet kunnen afdwingen van een besluit tot uitkering.</t>
  </si>
  <si>
    <t>Dit is een afzonderlijke categorie, die tussen voorraden en vorderingen wordt gerangschikt (of als kortlopende schuld ingeval van een creditsaldo). Deze categorie kan zowel materiële projecten als diensten omvatten. Productie voor eigen rekening is onder de gewone voorraad begrepen. De uitvoering strekt zich gewoonlijk uit over meer dan één verslagperiode.</t>
  </si>
  <si>
    <t>RJ 221.107</t>
  </si>
  <si>
    <t>RJ 221.112</t>
  </si>
  <si>
    <t>RJ 221.202a
RJ 221.307</t>
  </si>
  <si>
    <t>RJ 221.202b</t>
  </si>
  <si>
    <t>RJ 221.205</t>
  </si>
  <si>
    <t>RJ 221.204</t>
  </si>
  <si>
    <t>- een debetstand vertoont, wordt het netto-bedrag verwerkt als een actief;</t>
  </si>
  <si>
    <t>Saldering van vorderingen en schulden mag alleen plaatsvinden als er een juridisch recht bestaat op verrekening en de rechtspersoon het stellige voornemen heeft de posten gesaldeerd af te wikkelen.</t>
  </si>
  <si>
    <t>RJ 252.405</t>
  </si>
  <si>
    <r>
      <rPr>
        <b/>
        <sz val="10"/>
        <color indexed="8"/>
        <rFont val="Arial"/>
        <family val="2"/>
      </rPr>
      <t>Dga-pensioen in eigen beheer:</t>
    </r>
    <r>
      <rPr>
        <sz val="10"/>
        <color indexed="8"/>
        <rFont val="Arial"/>
        <family val="2"/>
      </rPr>
      <t xml:space="preserve"> Opbouw is alleen nog mogelijk door overeengekomen indexaties en niet meer voor verwachte toekomstige salarisstijgingen. </t>
    </r>
  </si>
  <si>
    <t>De fiscale waarde van de pensioenvoorziening wordt - in geval van omzetting in een oudedagsverplichting - in 20 jaar (hoofdregel) als oudedagsverplichting uitgekeerd. Oprenting vindt jaarlijks plaats met marktrente/u-rendement</t>
  </si>
  <si>
    <t>Oudedagsverplichting (ODV) op basis van ‘Wet uitfasering pensioen in eigen beheer’ (zie verder hoofdstuk B3.2)</t>
  </si>
  <si>
    <t>Het langlopend karakter hangt af van de juridische opeisbaarheid. Als niets is overeengekomen of de looptijd is korter dan 12 maanden: opnemen onder kortlopende schulden.</t>
  </si>
  <si>
    <r>
      <t xml:space="preserve">Voor rechtspersonen waarvan de moedermaatschappij onder IFRS rapporteert of voor sectoren die (overwegend) op basis van IFRS rapporteren is het toegestaan de verwerking van opbrengsten en gerelateerde kosten te baseren op </t>
    </r>
    <r>
      <rPr>
        <b/>
        <sz val="10"/>
        <color indexed="8"/>
        <rFont val="Arial"/>
        <family val="2"/>
      </rPr>
      <t>IFRS 15</t>
    </r>
  </si>
  <si>
    <t>Toelichting bij de opbrengsten</t>
  </si>
  <si>
    <t>RJ 270.105</t>
  </si>
  <si>
    <t>Verwerking van opbrengsten</t>
  </si>
  <si>
    <t>RJ 270.109</t>
  </si>
  <si>
    <t>RJ 270.109a</t>
  </si>
  <si>
    <t>RJ 270.109b</t>
  </si>
  <si>
    <t>RJ 270.109c</t>
  </si>
  <si>
    <t>Verwerking van opbrengsten uit prestatieverplichtingen aangaande het leveren van goederen vindt plaats indien aan alle onderstaande elementen is voldaan:</t>
  </si>
  <si>
    <t>- alle belangrijke rechten op economische voordelen en risico’s zijn overgedragen aan de afnemer</t>
  </si>
  <si>
    <t>- geen beschikkingsmacht achterblijft</t>
  </si>
  <si>
    <t>- de omvang van de opbrengsten betrouwbaar kan worden bepaald</t>
  </si>
  <si>
    <t>- de economische voordelen van de prestatieverplichting waarschijnlijk aan de rechtspersoon zullen toekomen</t>
  </si>
  <si>
    <t>- de kosten met betrekking tot de prestatieverplichting betrouwbaar kunnen worden bepaald</t>
  </si>
  <si>
    <t>Verwerking van opbrengsten uit prestatieverplichtingen aangaande het verlenen van diensten vindt plaats naar rato van de verrichte prestaties, indien:</t>
  </si>
  <si>
    <t>RJ 270.115</t>
  </si>
  <si>
    <t>- de opbrengst betrouwbaar kan worden bepaald en waarschijnlijk zal worden geïncasseerd</t>
  </si>
  <si>
    <t>- de mate waarin de dienstverlening op balansdatum is verricht betrouwbaar kan worden bepaald</t>
  </si>
  <si>
    <t>RJ 270.106</t>
  </si>
  <si>
    <t>RJ 270.125</t>
  </si>
  <si>
    <t>Verwerking van rentebaten vindt tijdsevenredig plaats, terwijl dividend wordt verwerkt indien daarop recht is verkregen.</t>
  </si>
  <si>
    <t>RJ 270.132</t>
  </si>
  <si>
    <t>RJ 270.601</t>
  </si>
  <si>
    <t>- de aard van belangrijke prestatieverplichting inclusief de methode van toerekening aan de perioden</t>
  </si>
  <si>
    <t>- de geactiveerde kosten van het verkrijgen van een overeenkomst</t>
  </si>
  <si>
    <t xml:space="preserve">De uitsplitsing van de netto-omzet naar bedrijvigheid (segmentering) moet plaats vinden door grote rechtspersonen. </t>
  </si>
  <si>
    <t>Verwerking van lasten</t>
  </si>
  <si>
    <t>Lasten die samenhangen met de verrichte prestaties, worden verantwoord in dezelfde periode als de baten uit die prestaties.</t>
  </si>
  <si>
    <t>RJ 274.111</t>
  </si>
  <si>
    <t>RJ 220.503
RJ 221.301</t>
  </si>
  <si>
    <t>Winstdelingsregelingen moeten als last en niet als resultaatbestemming te worden verantwoord.</t>
  </si>
  <si>
    <t>Het gevolg van de inwerkingtreding van de wet die aanpassing of terugvordering van bonussen en/of winstdelingen van bestuurders mogelijk maakt (artikel 2:135 lid 6 of 8 BW) moet worden toegelicht. Het betreffende bedrag wordt opgenomen in de opgave van de (totale) bezoldiging van bestuurders die is vereist op grond van artikel 2:383 lid 1 BW.</t>
  </si>
  <si>
    <t>RJ 271.605a</t>
  </si>
  <si>
    <t>Als de sociale lasten en/of pensioenlasten niet afzonderlijk in de winst-en-verliesrekening zijn opgenomen, moet dit in de toelichting te gebeuren</t>
  </si>
  <si>
    <t>Netto omzet is de omzet na aftrek van kortingen en belastingen. De omzet wordt toegerekend aan het jaar waarin de levering of prestatie heeft plaatsgevonden.</t>
  </si>
  <si>
    <t>BW 2:382
RJ 270.504</t>
  </si>
  <si>
    <t>Indien rente is geactiveerd, verdient het aanbeveling dat afzonderlijk in de toelichting op de financiële baten en lasten te vermelden, door de totale rentelast te vermelden en de geactiveerde rente daarop zichtbaar in mindering te brengen. Ook de rentevoet die is gehanteerd moet vermeld worden.</t>
  </si>
  <si>
    <t>Van bovenstaande baten en lasten moet een afzonderlijke vermelding worden opgenomen van:</t>
  </si>
  <si>
    <t>Dit zijn kosten of opbrengsten, die voortvloeien uit de gewone bedrijfsuitoefening maar uitzonderlijke omvang hebben of in uitzonderlijke mate voorkomen. Hiervan worden aard en omvang afzonderlijk en ongesaldeerd toegelicht. Zij moeten afzonderlijk als onderdeel van het resultaat uit gewone bedrijfsuitoefening worden opgenomen of toegelicht.</t>
  </si>
  <si>
    <t>BW 2:377,7
RJ 270.406
RJk B13.112</t>
  </si>
  <si>
    <t>- toelichting van de rentevoet en gemiddelde looptijd bij waardering tegen contante waarde</t>
  </si>
  <si>
    <t>De toelichting moet omvatten:</t>
  </si>
  <si>
    <t xml:space="preserve">In het geval van financiële lease moet in de toelichting zijn opgenomen voor welke bedragen activa en leaseverplichtingen wel in de balans zijn opgenomen maar niet in het kasstroomoverzicht. Betalingen van leasetermijnen worden gepresenteerd als uitgaven van financieringsactiviteiten voor het aflossingsbestanddeel. Voor boekjaren die aanvangen op of na 1 januari 2021 worden de betalingen van het rentebestanddeel in overeenstemming met de stelselkeuze voor kasstromen uit hoofde van betaalde interest gepresenteerd onder de kasstromen uit operationele- of investeringsactiviteiten.  Een ontvangst als gevolg van een sale-en-financial-lease-backtransactie wordt opgenomen als een kasstroom uit financieringsactiviteiten. </t>
  </si>
  <si>
    <t>Bij aan- of verkoop van deelnemingen wordt de aan- respectievelijk verkoopprijs opgenomen als (des)investering in financiële vaste activa. Bij een activa/passivatransactie wordt op vergelijkbare wijze gehandeld. Uit vervallen of nieuwe consolidaties voortvloeiende mutaties in activa en passiva worden dus niet als kasstromen uit hoofde van die activa en passiva gepresenteerd. De betaalde goodwill wordt ook niet afzonderlijk in het kasstroomoverzicht opgenomen. De in de geconsolideerde deelneming aanwezige geldmiddelen worden gesaldeerd met de aan- of verkoopprijs.
Voor verslagjaren die aanvangen op of na 1 januari 2021 is het niet meer mogelijk om bij de aankoop respectievelijk verkoop van groepsmaatschappijen de in de geconsolideerde deelneming aanwezige geldmiddelen afzonderlijk  te vermelden als onderdeel van de aansluiting tussen de netto-kasstroom en de balansmutaties van de geldmiddelen. Een eventuele stelselwijziging moet overeenkomstig hoofdstuk 140 ‘Stelselwijzigingen’ worden verwerkt.</t>
  </si>
  <si>
    <t>·     Paragraaf 1 bevat voorschriften voor middelgrote en grote rechtspersonen</t>
  </si>
  <si>
    <t>·     Paragraaf 2 bevat aanvullende voorschriften voor grote rechtspersonen</t>
  </si>
  <si>
    <t>·     Paragraaf 3 bevat aanvullende voorschriften voor OOB's</t>
  </si>
  <si>
    <t>·     Paragraaf 4 bevat aanvullende voorschriften voor vennootschappen waarvan aandelen, obligaties of certificaten zijn toegelaten tot handel van een gereglementeerde markt</t>
  </si>
  <si>
    <t xml:space="preserve">Het bestuursverslag mag, in plaats van te worden gedeponeerd, ten kantore van de vennootschap worden gehouden. Ter inzage van eenieder en op verzoek moet een afschrift worden verstrekt. Wanneer van deze mogelijkheid gebruik wordt gemaakt mag worden afgezien van openbaarmaking van het bestuursverslag gelijktijdig met en op dezelfde wijze als in de publicatiestukken. Het bestuursverslag vormt tezamen met de jaarrekening en overige gegevens de door de wetgever vereiste jaarverslaggevingIn </t>
  </si>
  <si>
    <t>Mede om de jaarrekening zinvol te interpreteren, moet in het bestuursverslag algemene informatie worden verschaft over de rechtspersoon en de daaraan verbonden ondernemingen zoals:</t>
  </si>
  <si>
    <t>RJ 400.1013,  1021, 1031</t>
  </si>
  <si>
    <t>Bij de bespreking in het bestuursverslag moet door middel van een evenwichtige en volledige analyse ten minste aan de volgende (financiële) aspecten aandacht worden besteed:</t>
  </si>
  <si>
    <t>RJ 400.1041</t>
  </si>
  <si>
    <t>Aandacht moet worden besteed aan de daadwerkelijke ontwikkeling in het verslagjaar van belangrijke aangelegenheden waarover in het vorige bestuursverslag verwachtingen werden uitgesproken dan wel een belangrijke onzekerheid werd vermeld.</t>
  </si>
  <si>
    <t>RJ 400.1014</t>
  </si>
  <si>
    <t>Tot de mededelingen over de verwachte gang van zaken die moeten worden gedaan, voor zover gewichtige belangen zich hiertegen niet verzetten, behoren in het bijzonder die met betrekking tot:</t>
  </si>
  <si>
    <t>RJ 400.1102 BW 2:391.2</t>
  </si>
  <si>
    <t>BW 2:391,1
RJ 400.1052</t>
  </si>
  <si>
    <t>RJ 400.1052</t>
  </si>
  <si>
    <t>BW 2:391,3
RJ 400.1071</t>
  </si>
  <si>
    <t>RJ 400.2015</t>
  </si>
  <si>
    <t>BW 2:391,2
RJ 400.1091</t>
  </si>
  <si>
    <t>- aantal aandelen met bijzondere rechten en de namen van bestuurders indien deze bijzondere rechten toekomen aan een rechtspersoon</t>
  </si>
  <si>
    <t>Preferent dividend, waarvoor voldoende vrij uitkeerbaar vermogen aanwezig is, moet eveneens als schuld worden verwerkt.</t>
  </si>
  <si>
    <r>
      <rPr>
        <b/>
        <sz val="10"/>
        <color indexed="8"/>
        <rFont val="Arial"/>
        <family val="2"/>
      </rPr>
      <t>Dga-pensioen:</t>
    </r>
    <r>
      <rPr>
        <sz val="10"/>
        <color indexed="8"/>
        <rFont val="Arial"/>
        <family val="2"/>
      </rPr>
      <t xml:space="preserve"> De RJ stelt dat afstempeling van een pensioenvoorziening van een dga ná balansdatum, maar vóór het opmaken van de jaarrekening in beginsel moet worden vermeld (</t>
    </r>
    <r>
      <rPr>
        <sz val="10"/>
        <rFont val="Arial"/>
        <family val="2"/>
      </rPr>
      <t>zie Pensioenvoorzieningen</t>
    </r>
  </si>
  <si>
    <t>RJ 315.1024
BW 2:397,1</t>
  </si>
  <si>
    <t>RJ 315.103</t>
  </si>
  <si>
    <t>Het bestuursverslag moet worden gedeponeerd, maar mag ook ten kantore van de vennootschap worden gehouden. Wanneer van deze mogelijkheid gebruik wordt gemaakt mag worden afgezien van openbaarmaking van het bestuursverslag gelijktijdig met en op dezelfde wijze als  in de publicatiestukken. In de inrichtingsjaarrekening moet het bestuursverslag als onderdeel van het jaarverslag onverkort opgenomen worden.</t>
  </si>
  <si>
    <t>Grote rechtspersonen moeten de invloed van een stelselwijziging en van een schattingswijziging op toekomstige jaren vermelden.</t>
  </si>
  <si>
    <t xml:space="preserve">De grote rechtspersoon moet de toelichting inzake, niet in de balans opgenomen financiële verplichtingen, waaronder voorwaardelijke en niet-verwerkte verplichtingen en voorwaardelijke activa volledig opnemen, inclusief de vermelding van de financiële omvang. </t>
  </si>
  <si>
    <t>Indien niet in de winst-en-verliesrekening opgenomen, moeten in de toelichting worden vermeld:</t>
  </si>
  <si>
    <t>De uitsplitsing van de netto-omzet naar bedrijvigheid (segmentering) moet plaatsvinden.</t>
  </si>
  <si>
    <r>
      <t xml:space="preserve">Grote rechtspersonen moeten de volgende informatie met betrekking tot de toelichting op de </t>
    </r>
    <r>
      <rPr>
        <b/>
        <sz val="10"/>
        <color indexed="8"/>
        <rFont val="Arial"/>
        <family val="2"/>
      </rPr>
      <t>winst-en-verliesrekening</t>
    </r>
    <r>
      <rPr>
        <sz val="10"/>
        <color indexed="8"/>
        <rFont val="Arial"/>
        <family val="2"/>
      </rPr>
      <t xml:space="preserve"> opnemen:</t>
    </r>
  </si>
  <si>
    <t>Grote rechtspersonen moeten aanvullend op het mutatieoverzicht van het eigen vermogen een overzicht van het totaal resultaat van de rechtspersoon opstellen.</t>
  </si>
  <si>
    <r>
      <t xml:space="preserve">Grote rechtspersonen moeten bij </t>
    </r>
    <r>
      <rPr>
        <b/>
        <sz val="10"/>
        <color indexed="8"/>
        <rFont val="Arial"/>
        <family val="2"/>
      </rPr>
      <t>financiële instrumenten</t>
    </r>
    <r>
      <rPr>
        <sz val="10"/>
        <color indexed="8"/>
        <rFont val="Arial"/>
        <family val="2"/>
      </rPr>
      <t xml:space="preserve"> onder meer de volgende toelichtingen opnemen:</t>
    </r>
  </si>
  <si>
    <t>- reële waarde van financiële instrumenten moet over alle financiële instrumenten worden gegeven en niet alleen over de financiële vaste activa</t>
  </si>
  <si>
    <r>
      <t xml:space="preserve">Rechtspersonen, die een beursintroductie voorbereiden of reeds genoteerd zijn, moeten de </t>
    </r>
    <r>
      <rPr>
        <b/>
        <sz val="10"/>
        <color indexed="8"/>
        <rFont val="Arial"/>
        <family val="2"/>
      </rPr>
      <t>winst per aandeel</t>
    </r>
    <r>
      <rPr>
        <sz val="10"/>
        <color indexed="8"/>
        <rFont val="Arial"/>
        <family val="2"/>
      </rPr>
      <t xml:space="preserve"> in de jaarrekening vermelden.</t>
    </r>
  </si>
  <si>
    <t>RJ 345.301</t>
  </si>
  <si>
    <t>Voorts moeten grote rechtspersonen informatie opnemen in de toelichting over het bedrijfssegment of het geografisch segment waarin de te beëindigen bedrijfsactiviteit wordt gerapporteerd overeenkomstig hoofdstuk Segmentatie.</t>
  </si>
  <si>
    <t>Grote rechtspersonen moeten, in het boekjaar waarin een beëindiging van bedrijfsactiviteiten zich voordoet, de volgende informatie opnemen in de toelichting:</t>
  </si>
  <si>
    <t>Voorts moeten grote rechtspersonen informatie opnemen in de toelichting over het bedrijfssegment of het geografische segment waarin de te beëindigen bedrijfsactiviteit wordt gerapporteerd overeenkomstig het hoofdstuk segmentatie</t>
  </si>
  <si>
    <t>Grote rechtspersonen moeten een kasstroomoverzicht opstellen.</t>
  </si>
  <si>
    <t>Voor de grote rechtspersoon gelden geen vereenvoudigingen voor het bestuursverslag. </t>
  </si>
  <si>
    <t>RJ 400</t>
  </si>
  <si>
    <t>Grondslagen en overige toelichting</t>
  </si>
  <si>
    <t>Verder is de fiscale verslaggeving richtinggevend. Deze heeft echter het bezwaar dat zij geheel is ingesteld op de winstbepalingsfunctie en niet op het geven van inzicht.</t>
  </si>
  <si>
    <t xml:space="preserve">De beloningen van bestuurders en commissarissen, leden van de raad van toezicht e.d. moeten worden vermeld, tenzij dit tot één persoon kan worden herleid. </t>
  </si>
  <si>
    <t>Alle rechtspersonen moeten een administratie voeren waaruit te allen tijde de rechten en verplichtingen kunnen worden vastgesteld. Binnen zes maanden na afloop van het boekjaar moet een balans en staat van baten en lasten worden opgesteld.</t>
  </si>
  <si>
    <t>Een geconsolideerde (samengevoegde) jaarrekening moet worden opgesteld voor groepsmaatschappijen, of rechtspersonen waarover de organisatie-zonder-winststreven overheersende zeggenschap of centrale leiding heeft.</t>
  </si>
  <si>
    <t>Is de bestemming bepaald door derden (bijvoorbeeld een gift met een opdracht of last) dan wordt dat aangeduid met bestemmingsfonds. De beperkingen en reserveringen moeten worden vermeld.</t>
  </si>
  <si>
    <t>Er moeten mutatieoverzichten worden gegeven voor de onderscheiden delen van het eigen vermogen.</t>
  </si>
  <si>
    <t>Bij de indeling moet worden gekozen voor het categoriale of het functionele model.</t>
  </si>
  <si>
    <t>De beloningen van bestuurders en commissarissen, leden van de raad van toezicht e.d. moeten worden vermeld, tenzij dit tot één persoon kan worden herleid.</t>
  </si>
  <si>
    <t>Verstrekte leningen, garanties, e.d. aan (gewezen) bestuurders en toezichthouders moeten worden vermeld. Dat geldt ook voor nog openstaande bedragen, afgewaardeerde bedragen en bedragen waarvan werd afgezien, de rentevoet, belangrijke overige bepalingen en aflossingen gedurende het boekjaar.</t>
  </si>
  <si>
    <t>Voorts moet het beleid met betrekking tot het vrij besteedbaar vermogen worden vermeld alsmede het beleid ten aanzien van de risico’s met betrekking tot beleggingen.</t>
  </si>
  <si>
    <t>De RJ heeft voor kleine organisatie-zonder-winststreven een verlicht regime opgesteld voor de  jaarverslaggeving. Deze zijn te vinden in de bundel Richtlijnen voor kleine rechtspersonen (RJk).</t>
  </si>
  <si>
    <t>Baten in natura moeten worden gewaardeerd tegen reële waarde (voor zover deze betrouwbaar kan worden vastgesteld en materieel is). Als deze baten niet in de staat van baten en lasten zijn opgenomen, wordt dit in de toelichting vermeld. Bij een materieel bedrag wordt een indicatie van de waarde gegeven. Vrijwilligerswerk wordt, indien dit belangrijk is voor de organisatie, in het bestuursverslag vermeld.</t>
  </si>
  <si>
    <t>RJk C1.203a
RJk C1.311</t>
  </si>
  <si>
    <t>Vermelding van de bezoldiging van (gewezen) bestuurders en toezichthouders is een aanbeveling, geen voorschrift. Wel moeten verstrekte leningen, voorschotten en garanties aan deze categorieën worden vermeld. De WNT kan van toepassing zijn.</t>
  </si>
  <si>
    <t>Ook de ontvangsten uit aandelen en de lasten uit certificaten worden niet in de winst-en-verliesrekening opgenomen. De stichting moet de gehouden aandelen, de uitgegeven certificaten en de voorwaarden van certificering vermelden.</t>
  </si>
  <si>
    <t>In de geconsolideerde jaarrekening kunnen wegens gegronde redenen andere waarderings­regels gelden dan voor de enkelvoudige jaar­rekening. Dit moet wel expliciet vermeld worden. Het is mogelijk om geconsolideerd op IFRS over te gaan en voor de enkelvoudige ­jaarrekening het BW te volgen.</t>
  </si>
  <si>
    <t xml:space="preserve">- gegevens over werknemers (ex art. 2:382 BW) moeten gesplitst worden in die voor volledig geconsolideerde en die voor ­proportioneel geconsolideerde maatschappijen
</t>
  </si>
  <si>
    <t>Er zijn uitgebreide regels in de wet opgenomen, om oneigenlijk gebruik van de fiscale eenheid tegen te gaan. Met name de termijnen die verhinderen dat er al te gemakkelijk met stille reserves en goodwill kan worden geschoven vormen een aandachtspunt.</t>
  </si>
  <si>
    <t>RJ 100.108</t>
  </si>
  <si>
    <t>RJ 100.113</t>
  </si>
  <si>
    <t>Een achtergestelde lening mag alleen als zodanig vermeld worden als deze achtergesteld is bij alle schuldeisers.</t>
  </si>
  <si>
    <t>RJ 254.309</t>
  </si>
  <si>
    <t>Bij een samensmelting van belangen moet de ‘pooling of interests’ methode (voeging per begin boekjaar) te worden toegepast. In andere gevallen wordt de ‘purchase accounting’ methode gehanteerd (voeging per overnamedatum).</t>
  </si>
  <si>
    <t>Te verschaffen informatie over deelnemingen</t>
  </si>
  <si>
    <t>Het hoofd van de groep vermeldt de naam, vestigingsplaats en het kapitaalverschaffingspercentage van rechtspersonen en vennootschappen waarin zij deelneemt in verschillende categorieën</t>
  </si>
  <si>
    <t>Het criterium ‘te verwaarlozen betekenis’ is hierbij niet van toepassing.</t>
  </si>
  <si>
    <t>Verder moet worden vermeld ten aanzien van welke rechtspersonen een aansprakelijkheidsstelling overeenkomstig art. 2:403 lid 1f BW is afgegeven.</t>
  </si>
  <si>
    <t>In de lijst van deelnemingen wordt ook een aantal aanvullende gegevens vermeld:</t>
  </si>
  <si>
    <t>- de reden waarom een vennootschap die niet voldoet aan de definitie van dochtermaatschappij (zie paragraaf D1.3) toch integraal wordt geconsolideerd</t>
  </si>
  <si>
    <t>- de reden waarom een rechtspersoon of vennootschap proportioneel is geconsolideerd</t>
  </si>
  <si>
    <t>- de reden van het niet-consolideren van een groepsmaatschappij  </t>
  </si>
  <si>
    <t>- deelnemingen van minstens 20%</t>
  </si>
  <si>
    <t>- maatschappijen waarvoor hoofdelijke aansprakelijkheid bestaat</t>
  </si>
  <si>
    <t>BW 2:379</t>
  </si>
  <si>
    <t>BW 2:414,5</t>
  </si>
  <si>
    <t>BW 2:414,3</t>
  </si>
  <si>
    <t>Financiële activa en financiële verplichtingen moeten in beginsel ongesaldeerd worden gepresenteerd.</t>
  </si>
  <si>
    <t>RJ 290.503</t>
  </si>
  <si>
    <t>De waardering moet dan zoveel mogelijk de af te dekken positie volgen, zodat er geen (tijdelijke) vertekeningen in de resultatenrekening ontstaan. Daarom zijn voor hedge accounting afwijkende regels van toepassing.</t>
  </si>
  <si>
    <t xml:space="preserve">De controleverklaring bij de jaarrekening van OOB’s bevat uitgebreidere informatie, zoals ten aanzien van de gehanteerde materialiteit, de continuïteit, de groepscontrole en de kernpunten van de controle. Dit wordt geregeld in controlestandaard 701 van de NBA.
De jaarrekening kan niet worden vastgesteld indien het daartoe bevoegde orgaan geen kennis heeft kunnen nemen van de verklaring van de accountant tenzij een wettige grond onder de overige gegevens is opgenomen.
</t>
  </si>
  <si>
    <t>Ter wille van de vergelijkbaarheid moeten kerncijfers en kengetallen van voorgaande jaren op gelijke wijze worden berekend als voor de onderhavige verslagperiode. Indien wijziging is gebracht in de keuze of de berekeningswijze van gegevens, moeten de gegevens van voorgaande jaren worden berekend volgens het nieuwe stelsel, tenzij dit praktisch niet mogelijk is. Alsdan moet dit feit worden vermeld.</t>
  </si>
  <si>
    <t>- current ratio: vlottende activa/kortlopende schulden
- quick ratio; liquide middelen + kortlopende vorderingen/kortlopende schulden</t>
  </si>
  <si>
    <t>EBITDA = Earning before Interest, Taxes, Depreciation and Amortization, ofwel inkomsten voor aftrek van rente, belastingen, afschrijvingen en amortisatie.</t>
  </si>
  <si>
    <t>Voor grote rechtspersonen geldt dat in de toelichting gesegmenteerde informatie moet worden opgenomen over de omzet.</t>
  </si>
  <si>
    <t>De afzonderlijke activa en passiva die bij de transactie zijn betrokken moeten op hun reële waarde worden gewaardeerd, zo nodig in afwijking van de prijzen in de overeenkomst.</t>
  </si>
  <si>
    <t>Dat mag echter niet tot gevolg hebben dat het saldo niet klopt met de bijbetaling in geld.</t>
  </si>
  <si>
    <t>Het in de jaarrekening verwerkte bedrag moet in de toelichting worden vermeld.</t>
  </si>
  <si>
    <t>Opmaken jaarrekening door bestuur moet plaats vinden binnen vijf maanden, tenzij uitstel is verleend door de algemene vergadering.</t>
  </si>
  <si>
    <t>Deponering van de jaarrekening vindt plaats binnen 8 dagen na vaststelling, met inachtneming van uitstel verleend door algemene vergadering. Als de jaarrekening niet binnen 2 maanden na afloop van de termijn voor het opmaken is vastgesteld, maakt het bestuur de niet-vastgestelde jaarrekening openbaar.</t>
  </si>
  <si>
    <r>
      <rPr>
        <sz val="10"/>
        <color indexed="8"/>
        <rFont val="Arial"/>
        <family val="2"/>
      </rPr>
      <t>Wanneer</t>
    </r>
    <r>
      <rPr>
        <sz val="10"/>
        <color indexed="8"/>
        <rFont val="Arial"/>
        <family val="2"/>
      </rPr>
      <t xml:space="preserve"> andere vergadergerechtigden ermee instemmen en de aandeelhouders en de bestuurders van de rechtspersoon dezelfde zijn, wordt door ondertekening van de jaarrekening deze ook vastgesteld.</t>
    </r>
  </si>
  <si>
    <t>RJ 121.805
RJk A2.325
RJ 121.806
RJk A2.326</t>
  </si>
  <si>
    <t>RJ 150
RJk A3.3</t>
  </si>
  <si>
    <t>RJ 150.202</t>
  </si>
  <si>
    <t>RJ 150.205</t>
  </si>
  <si>
    <t>RJk D3.2.402</t>
  </si>
  <si>
    <t>RJ 210
RJk B1</t>
  </si>
  <si>
    <t>RJ 210.401
RJ 210.419</t>
  </si>
  <si>
    <t>RJ 210.416</t>
  </si>
  <si>
    <t>Kleine rechtspersonen mogen ontwikkelingskosten als zij voldoen aan de specifieke voorwaarden activeren.</t>
  </si>
  <si>
    <t>RJ 212
RJk B2</t>
  </si>
  <si>
    <t>RJ 212.701
RJ 212.445</t>
  </si>
  <si>
    <t>RJ 213
RJk B2.2</t>
  </si>
  <si>
    <t>RJ 213.601
RJ 213.604</t>
  </si>
  <si>
    <t>RJ 292
RJk B11</t>
  </si>
  <si>
    <t>RJ 292.211</t>
  </si>
  <si>
    <t>RJ 214
RJk B3</t>
  </si>
  <si>
    <t>RJ 240.229a</t>
  </si>
  <si>
    <t>RJ 214.617</t>
  </si>
  <si>
    <t>RJ 221
RJk B5.3</t>
  </si>
  <si>
    <t>RJ 222
RJk B5.1 en B5.2</t>
  </si>
  <si>
    <t>RJ 222.309</t>
  </si>
  <si>
    <t>RJ 226
RJk B6</t>
  </si>
  <si>
    <t>RJ 252
RJk B10.2</t>
  </si>
  <si>
    <t>RJ 240
RJk B8</t>
  </si>
  <si>
    <t>RJ 252
RJk B10</t>
  </si>
  <si>
    <t>RJ 271
RJk B14</t>
  </si>
  <si>
    <t>BW 2:384,5
RJ 271.318a</t>
  </si>
  <si>
    <t>BW 2:384,5
RJ 271.324</t>
  </si>
  <si>
    <t>RJ 272
RJk B15</t>
  </si>
  <si>
    <t>RJ 254
RJk B9</t>
  </si>
  <si>
    <t>BW 2:381,1
RJ 252.510</t>
  </si>
  <si>
    <t>RJ 252.508</t>
  </si>
  <si>
    <t>RJ 252.514</t>
  </si>
  <si>
    <t>RJ 252.516</t>
  </si>
  <si>
    <t>RJ 270
RJk B13</t>
  </si>
  <si>
    <t>BW 2:383c,6
RJ 271.605c</t>
  </si>
  <si>
    <t>RJ 360</t>
  </si>
  <si>
    <t>RJ 160
RJk A4</t>
  </si>
  <si>
    <t xml:space="preserve">Onderhanden projecten in opdracht van derden worden als aparte categorie tussen voorraden en vorderingen gepresenteerd. Of -ingeval van een creditstand- als kortlopende schild. </t>
  </si>
  <si>
    <t>- een creditstand vertoont, wordt het netto-bedrag verwerkt als een verplichting.</t>
  </si>
  <si>
    <t>RJ 226.205</t>
  </si>
  <si>
    <t>RJ 240.404 t/m 407</t>
  </si>
  <si>
    <t>- aangegane waarborgverplichtingen jegens groepsmaatschappijen:
ingedeeld naar de vorm van de geboden zekerheden</t>
  </si>
  <si>
    <t>RJ 400.1053 t/m 1058</t>
  </si>
  <si>
    <t>c. het gemiddeld aantal werknemers op basis van mensjaren (fte) over het boekjaar bedraagt 250 of meer</t>
  </si>
  <si>
    <t>RJ 290.928 t/m 936</t>
  </si>
  <si>
    <t>RJ 630.303 t/m 305</t>
  </si>
  <si>
    <t xml:space="preserve">- geen uitsplitsing van eigen vermogen
</t>
  </si>
  <si>
    <t>De rechtspersoon geeft een toelichting over het aandeel derden als dit voor het vereiste inzicht noodzakelijk is.</t>
  </si>
  <si>
    <t>Ingeval van toepassing van combinatie 3, wordt bij toepassing van IFRS 9  (‘expected credit loss’) het effect van de verwachte kredietverliezen op leningen en vorderingen op de deelneming in de enkelvoudige jaarrekening eveneens worden geëlimineerd. Daarmee ontstaat veelal geen verschil in enkelvoudig en geconsolideerd vermogen en resultaat. Zie ook hoofdstuk E bij ‘waardering’ (RJ 290.101).</t>
  </si>
  <si>
    <t>Over fusies en overnames moeten uitgebreide toelichtingen worden gegeven. NB Voor middelgrote rechtspersonen geldt alleen een vrijstelling voor fusies en overnames die na balansdatum zijn gerealiseerd. Alleen in dat geval hoeft niet de informatie uit RJ 216.401-409 te worden toegelicht.</t>
  </si>
  <si>
    <t>RJ 216.401 t/m 409</t>
  </si>
  <si>
    <t>Over het hoofd van de groep moet ook informatie te worden gegeven, namelijk de naam en woonplaats.</t>
  </si>
  <si>
    <t>De internationale overeenkomst tussen banken en hun toezichthouders, onder de naam 'Basel II, III of IV', voorziet in een afspraak om de risico's in de kredietverlening aan klanten standaard op te laten vangen door buffervermogen. Dit buffervermogen is het aansprakelijk vermogen (zie boven) plus niet-opeisbare leningen, of in eigen aandelen af te lossen leningen. De bedoeling van die afspraak tussen banken is om te voorkomen dat zij onderling gaan concurreren op risico-acceptatie en daardoor de stabiliteit van het hele bankwezen in gevaar brengen.</t>
  </si>
  <si>
    <t>RJ 210.105 t/m 210.108</t>
  </si>
  <si>
    <t>RJ 220.601
RJk B4.110</t>
  </si>
  <si>
    <t>Bij agrarische voorraden die op actuele waarde worden gewaardeerd:</t>
  </si>
  <si>
    <t>- de wijze van bepaling van de opbrengstwaarde</t>
  </si>
  <si>
    <t xml:space="preserve">- de herwaarderingen, waardevermeerderingen en invloed van belastingen </t>
  </si>
  <si>
    <t>RJ 221.414
RJk B5.327
BW 384,5</t>
  </si>
  <si>
    <t>RJ 115.305</t>
  </si>
  <si>
    <t xml:space="preserve">RJ 271.322
</t>
  </si>
  <si>
    <t>Bij belastbare tijdelijke verschillen tussen fiscale en commerciële winst.</t>
  </si>
  <si>
    <t>Het functionele model is niet nader beschreven. Voor het vereiste inzicht lijken de rubrieken uit het categoriale model onontbeerlijk.</t>
  </si>
  <si>
    <t>BW 2: 379 en 414</t>
  </si>
  <si>
    <t>Voorts per einde boekjaar</t>
  </si>
  <si>
    <t>Kapitaalbelangen die niet vallen onder deelnemingen zijn effecten. Effecten worden in deze checklist behandeld onder kortlopende activa. De waardering en presentatie voorschriften zijn hetzelfde.</t>
  </si>
  <si>
    <t>RJ 214.203</t>
  </si>
  <si>
    <t>RJ 275.314
RJ 275.315</t>
  </si>
  <si>
    <t>Opgaven die te herleiden zijn tot één natuurlijk persoon mogen achterwege worden gelaten.</t>
  </si>
  <si>
    <t xml:space="preserve">RJ 271.605
</t>
  </si>
  <si>
    <t>BW 2:384,6</t>
  </si>
  <si>
    <t>RJ 140
RJk A3.1</t>
  </si>
  <si>
    <t>RJ 145
RJk A3.2</t>
  </si>
  <si>
    <t>Middelgrote rechtspersonen zijn hiervan vrijgesteld. Zij hoeven de informatie ook niet voor de AFM beschikbaar te hebben.</t>
  </si>
  <si>
    <t>uitz.</t>
  </si>
  <si>
    <t>BW 2:397.4</t>
  </si>
  <si>
    <t>BAW art.3</t>
  </si>
  <si>
    <t>BAW art.4</t>
  </si>
  <si>
    <t>BAW art.5</t>
  </si>
  <si>
    <t>RJ 121.801
BW 2:387,4</t>
  </si>
  <si>
    <t>BAW art. 7</t>
  </si>
  <si>
    <r>
      <t xml:space="preserve">Waardering tegen marktwaarde, zoals voor financiële instrumenten of vastgoedbeleggingen, is </t>
    </r>
    <r>
      <rPr>
        <b/>
        <sz val="10"/>
        <color indexed="8"/>
        <rFont val="Arial"/>
        <family val="2"/>
      </rPr>
      <t>niet</t>
    </r>
    <r>
      <rPr>
        <sz val="10"/>
        <color indexed="8"/>
        <rFont val="Arial"/>
        <family val="2"/>
      </rPr>
      <t xml:space="preserve"> toegestaan (BAW art. 5). </t>
    </r>
  </si>
  <si>
    <t>BAW art.8</t>
  </si>
  <si>
    <t>RJ 220
RJk B4</t>
  </si>
  <si>
    <t>RJ 212.451
BW 2:374,1</t>
  </si>
  <si>
    <t>Vlottende activa worden gewaardeerd tegen de actuele waarde, als deze lager is dan de verkrijgings- of vervaardigingsprijs.</t>
  </si>
  <si>
    <t>Vlottende activa worden gewaardeerd tegen actuele waarde als deze op balansdatum lager is dan de verkrijgings- of vervaardigingsprijs. Dit kan ook een andere lagere waarde zijn, als het inzicht daardoor wordt gediend.</t>
  </si>
  <si>
    <t>In de toelichting worden de valutakoersverschillen vermeld die in de winst- en verliesrekening zijn verwerkt en moet het verloop van de reserve omrekeningsverschillen worden gegeven.</t>
  </si>
  <si>
    <r>
      <t xml:space="preserve">Voor </t>
    </r>
    <r>
      <rPr>
        <b/>
        <sz val="10"/>
        <color indexed="8"/>
        <rFont val="Arial"/>
        <family val="2"/>
      </rPr>
      <t>immateriële en materiële</t>
    </r>
    <r>
      <rPr>
        <sz val="10"/>
        <color indexed="8"/>
        <rFont val="Arial"/>
        <family val="2"/>
      </rPr>
      <t xml:space="preserve"> vaste activa die tegen actuele waarde worden gewaardeerd, komt ook de actuele kostprijs in aanmerking.</t>
    </r>
  </si>
  <si>
    <t>Terugneming van bijzondere waardeverminderingen zijn uitsluitend toegestaan wanneer de schattingen zijn gewijzigd.</t>
  </si>
  <si>
    <t>Na afboeking moet de toekomstige afschrijvingslast te worden herrekend.</t>
  </si>
  <si>
    <t xml:space="preserve">- bijzondere waardeverminderingsverliezen verantwoord in de winst- en verliesrekening en die rechtstreeks ten laste van het eigen vermogen zijn verantwoord. </t>
  </si>
  <si>
    <t>BW 2: 387,4</t>
  </si>
  <si>
    <t>Herstel van de materiële fout moet plaatsvinden in de eerste nog niet vastgestelde jaarrekening. De gevolgen van het foutherstel worden in het vermogen verwerkt. Dit gebeurt, zowel in het eigen vermogen aan het einde van het voorafgaande boekjaar als met een rechtstreekse mutatie in het eigen vermogen aan het begin van het boekjaar waarin foutherstel plaatsvindt (retrospectief).</t>
  </si>
  <si>
    <t>Zie algemene regels, met uitzondering van wanneer de gebruiksduur niet betrouwbaar is vast te stellen. Dan afschrijving in maximaal 10 jaar onder vermelding van de redenen hiervan.</t>
  </si>
  <si>
    <t>Bij periodieke betaling voor het gebruik van rechten komen de kosten ten laste van het resultaat. Bij betaling van een koopsom ineens kan sprake zijn van een bedrijfsmiddel als daarnaast geen periodieke betaling verschuldigd is. Als sprake is van een bedrijfsmiddel kan de koopsom geactiveerd worden.</t>
  </si>
  <si>
    <t xml:space="preserve">Kosten voor groot onderhoud worden verwerkt: </t>
  </si>
  <si>
    <t xml:space="preserve">De toevoegingen aan de voorziening worden bepaald op basis van het geschatte bedrag per onderhoudscomponent en de periode die telkens tussen de werkzaamheden voor groot onderhoud verloopt. </t>
  </si>
  <si>
    <t>Als de werkelijke kosten van het groot onderhoud hoger of lager uitvallen, dan wordt het verschil in de winst-en-verliesrekening verwerkt. De onderhoudsvoorziening wordt gewoonlijk gewaardeerd tegen de nominale waarde.</t>
  </si>
  <si>
    <t>RJ 212.451</t>
  </si>
  <si>
    <r>
      <rPr>
        <b/>
        <sz val="10"/>
        <color indexed="8"/>
        <rFont val="Arial"/>
        <family val="2"/>
      </rPr>
      <t>NIEUW IN 2023</t>
    </r>
    <r>
      <rPr>
        <sz val="10"/>
        <color indexed="8"/>
        <rFont val="Arial"/>
        <family val="2"/>
      </rPr>
      <t xml:space="preserve">: Bij het verwerken van uitgaven voor groot onderhoud via een onderhoudsvoorziening moet de rechtspersoon ook de belangrijke onderdelen van een materieel vast actief onderscheiden en afzonderlijk activeren en afschrijven. </t>
    </r>
  </si>
  <si>
    <t>RJ 212.809</t>
  </si>
  <si>
    <t>RJ 212.448</t>
  </si>
  <si>
    <t>Als de keuze voor activering (in de grondslag) is gemaakt, moet vanaf eerste verwerking de ‘componentenbenadering’ worden toegepast.</t>
  </si>
  <si>
    <t xml:space="preserve">De vervanging van een belangrijk bestanddeel wordt verwerkt als onderdeel van de kostprijs van het materieel vast actief als is voldaan aan de activeringscriteria. </t>
  </si>
  <si>
    <t xml:space="preserve">Bij de verwerking van de vervanging van een belangrijk onderdeel als vervangingsinvestering wordt de boekwaarde van het vervangen onderdeel gedesinvesteerd. </t>
  </si>
  <si>
    <r>
      <rPr>
        <b/>
        <sz val="10"/>
        <color indexed="8"/>
        <rFont val="Arial"/>
        <family val="2"/>
      </rPr>
      <t>NIEUW IN 2023</t>
    </r>
    <r>
      <rPr>
        <sz val="10"/>
        <color indexed="8"/>
        <rFont val="Arial"/>
        <family val="2"/>
      </rPr>
      <t xml:space="preserve">: Een belangrijk onderdeel van een materieel vast actief is een onderdeel waarvan de kostprijs belangrijk is in relatie tot het totale materieel vast actief. </t>
    </r>
  </si>
  <si>
    <t>RJ 212.508</t>
  </si>
  <si>
    <t>Bij waardering tegen actuele waarde wordt vermeld op welke wijze deze is bepaald (taxaties, marktprijzen, verwerking van herwaarderingen) en ook de resterende som van herwaarderingen.</t>
  </si>
  <si>
    <t>RJ 212.703</t>
  </si>
  <si>
    <r>
      <rPr>
        <b/>
        <sz val="10"/>
        <color indexed="8"/>
        <rFont val="Arial"/>
        <family val="2"/>
      </rPr>
      <t>NIEUW IN 2023</t>
    </r>
    <r>
      <rPr>
        <sz val="10"/>
        <color indexed="8"/>
        <rFont val="Arial"/>
        <family val="2"/>
      </rPr>
      <t>: In sub g is opgenomen dat als gebruik wordt gemaakt van de alternatieve verwerkingswijze van RJ 212.303 bij activa die nog zijn op zijn plaats zijn gebracht en in gebruik zijn genomen, de opbrengsten en de bijbehorende kosten van geproduceerd materiaal en de posten in de winst-en-verliesrekening waarin deze bedragen zijn opgenomen, in de toelichting worden vermeld.</t>
    </r>
  </si>
  <si>
    <t xml:space="preserve">Bij waardering op historische kosten als sprake is van bijzondere gevallen zoals omschreven in RJ 213.512, moet de reële waarde in de toelichting worden vermeld. </t>
  </si>
  <si>
    <t>Het is toegestaan voor leasing IFRS 16 toe te passen in plaats van RJ 292, mits de toepassing integraal is.</t>
  </si>
  <si>
    <t>Negatieve goodwill moet als een afzonderlijke overlopende passiefpost worden opgenomen en ten gunste van de winst- en verliesrekening te worden gebracht naargelang de verwachte toekomstige verliezen zich voordoen. Is van verwachte verliezen geen sprake, dan is de verwerking als volgt:</t>
  </si>
  <si>
    <t>- som van de herwaarderingen.</t>
  </si>
  <si>
    <t>BW 2:368,2a</t>
  </si>
  <si>
    <t>- som van de afschrijvingen en waardeverminderingen</t>
  </si>
  <si>
    <t>BW 2:368,2b</t>
  </si>
  <si>
    <t>Als de verkoopprijs van een deelneming nog niet vaststaat, omdat deze bijvoorbeeld afhankelijk is van toekomstige winsten, zijn waardeveranderingen in de prijs vrijgesteld onder de deelnemingsvrijstelling. Dat geldt zowel voor verkoper als koper.</t>
  </si>
  <si>
    <t>Beperking renteaftrek hybride leningen</t>
  </si>
  <si>
    <t>VPB 10b</t>
  </si>
  <si>
    <t>Art. 10b Wet Vpb 1969 bevat net als art. 10a Wet Vpb 1969 een bijzondere aftrekbeperking van rente in gelieerde verhoudingen met als achtergrond het. voorkomen van internationale mismatches.</t>
  </si>
  <si>
    <t>De gelieerdheid is voor wat betreft deze aftrekbeperking niet gekwantificeerd. Gelieerd in de zin van art. 8b Wet Vpb 1969 / art. 10b Wet Vpb 1969 is een moeder-, dochter- of zustervennootschap, dan wel een ander lichaam waarmee op basis van deelneming in het kapitaal, dan wel op basis van deelneming in de leiding of het toezicht, een gelieerde verhouding bestaat. Een lening verstrekt door een natuurlijk persoon valt niet onder de reikwijdte van art. 10b Wet Vpb 1969.</t>
  </si>
  <si>
    <t>RJ 270.201a</t>
  </si>
  <si>
    <t>RJ 220.601</t>
  </si>
  <si>
    <t>Ook andere kosten behoren tot de projectkosten, als deze contractueel zijn door te berekenen aan de opdrachtgever.</t>
  </si>
  <si>
    <t>RJ 221.601
en 221.602</t>
  </si>
  <si>
    <t>BW 2:377,3 en
2: 377,4</t>
  </si>
  <si>
    <t>De projectkosten zelf worden gewoonlijk als kostprijs van de omzet gepresenteerd. Dit is echter niet verplicht voor kleine en middelgrote rechtspersonen. Zij mogen het bruto-omzetresultaat presenteren.</t>
  </si>
  <si>
    <t>RJ 221.405
BW 2: 396,4 en
BW 2: 397,3</t>
  </si>
  <si>
    <t>In de toelichting moet in elk geval de gezamenlijke boekwaarde van de effecten worden vermeld, die aan een Nederlandse of buitenlandse beurs genoteerd staan.</t>
  </si>
  <si>
    <t>De aard, het zakelijk doel en de financiële gevolgen van de niet opgenomen regelingen moeten worden beschreven, wanneer deze van betekenis zijn voor de beoordeling van de financiële positie.</t>
  </si>
  <si>
    <t>Preferent dividend moet als schuld worden verwerkt.</t>
  </si>
  <si>
    <t>Als er geherwaardeerd wordt op een bedrag hoger dan de vorige boekwaarde van de activa.</t>
  </si>
  <si>
    <t>Waardestijgingen van financiële instrumenten, die dienen ter afdekking van risico's, worden via de herwaarderingsreserve geleid, om deze te matchen in dezelfde periode als de af te dekken waardeverandering.</t>
  </si>
  <si>
    <t>De herwaarderingsreserve moet per post worden bepaald.</t>
  </si>
  <si>
    <t>De latente belastingen moeten van de herwaardering worden afgetrokken</t>
  </si>
  <si>
    <t xml:space="preserve">Als het groepsvermogen (het deel 'eigen vermogen') en het eigen vermogen van de enkelvoudige jaarrekening verschillen moet in de toelichting bij de enkelvoudige jaarrekening worden uiteengezet waar deze verschillen uit bestaan. </t>
  </si>
  <si>
    <t>Het verschil tussen de uitoefenprijs en de reële waarde van het aandeel op moment van toekenning (intrinsieke waarde van de optie) moet direct als loonkosten worden verwerkt.</t>
  </si>
  <si>
    <t>Over opties moet worden vermeld in de toelichting:</t>
  </si>
  <si>
    <t>Er gelden voor grote rechtspersonen geen vrijstellingen ten aanzien van informatieverstrekking over aandelenoptieregelingen voor het personeel. Grote rechtspersonen moeten opties per bestuurder en per commissaris vermelden. Voorts moet een verloopoverzicht worden verstrekt.</t>
  </si>
  <si>
    <t>Opgenomen moet worden:</t>
  </si>
  <si>
    <t xml:space="preserve">Een verlieslatend contract wordt gebaseerd op de onvermijdbare kosten die ten minste moeten worden gemaakt om de overeenkomst te kunnen beëindigen. De voorziening wordt gevormd voor het negatieve verschil tussen de na de balansdatum te ontvangen prestatie en de te verrichten contraprestatie. </t>
  </si>
  <si>
    <r>
      <t xml:space="preserve">Naar keuze wordt gewaardeerd tegen nominale of contante waarde. Dat laatste onder voorwaarde dat de tijdstippen van betaling betrouwbaar bepaald kunnen worden.
</t>
    </r>
    <r>
      <rPr>
        <sz val="10"/>
        <color indexed="8"/>
        <rFont val="Arial"/>
        <family val="2"/>
      </rPr>
      <t>Als het effect van de tijdswaarde van geld materieel is, moet de voorziening worden gewaardeerd tegen de contante waarde.</t>
    </r>
  </si>
  <si>
    <t>RJ 252.307</t>
  </si>
  <si>
    <t xml:space="preserve">Voor werknemers die voor januari 2005 nog geen 55 jaar zijn geworden zijn de werknemerspremies niet aftrekbaar en vindt een heffing van 52% plaats over de werkgeversbijdragen (RVU-heffing). 
</t>
  </si>
  <si>
    <t>Sinds 1-1-2021 geldt een tijdelijke vrijstelling van RVU-heffing. Werkgevers worden tot en met 31-12-2025 in de gelegenheid gesteld om werknemers die maximaal 36 maanden voor de AOW-leeftijd zitten, een gemaximeerde uitkering te betalen ter overbrugging van de periode tot ingangsdatum van de AOW.</t>
  </si>
  <si>
    <r>
      <rPr>
        <b/>
        <sz val="10"/>
        <color indexed="8"/>
        <rFont val="Arial"/>
        <family val="2"/>
      </rPr>
      <t>NIEUW IN 2023:</t>
    </r>
    <r>
      <rPr>
        <sz val="10"/>
        <color indexed="8"/>
        <rFont val="Arial"/>
        <family val="2"/>
      </rPr>
      <t xml:space="preserve"> Bij het verwerken van uitgaven voor groot onderhoud via een onderhoudsvoorziening moet de rechtspersoon ook de belangrijke onderdelen van een materieel vast actief onderscheiden en afzonderlijk activeren en afschrijven. </t>
    </r>
  </si>
  <si>
    <t>De toevoegingen aan de voorziening worden bepaald op basis van het geschatte bedrag per onderhoudscomponent en de periode die telkens tussen de werkzaamheden voor groot onderhoud verloopt. Als de werkelijke kosten van het groot onderhoud hoger of lager uitvallen, dan wordt het verschil in de winst-en-verliesrekening verwerkt. De onderhoudsvoorziening wordt gewoonlijk gewaardeerd tegen de nominale waarde.</t>
  </si>
  <si>
    <t xml:space="preserve">RJ 212.418
</t>
  </si>
  <si>
    <t>RJ 212 451</t>
  </si>
  <si>
    <t>- retrospectief conform RJ 140 over Stelselwijzigingen</t>
  </si>
  <si>
    <t>- retrospectief vanaf voorgaand boekjaar</t>
  </si>
  <si>
    <t>- retrospectief vanaf huidig boekjaar</t>
  </si>
  <si>
    <t>- totaal en afzonderlijk te vermelden de groepen van schulden met een looptijd van langer dan 1 jaar. Kleine rechtspersonen hoeven niet uit te splitsen naar afzonderlijke groep, maar alleen het totaal.</t>
  </si>
  <si>
    <t>- vermelding van belangrijke, niet in de balans opgenomen financiële verplichtingen, waarbij afzonderlijk te vermelden de verplichtingen jegens groepsmaatschappijen</t>
  </si>
  <si>
    <r>
      <t>Langlopende renteloze schulden en laagrentende schulden worden gewaardeerd op contante waarde als de contante waarde aanmerkelijk (10% of meer) afwijkt van de nominale waarde. Waardering op contante waarde is niet verplicht, maar wel toegestaan als het verschil minder dan 10% bedraagt. Langlopende (renteloze of laagrentende) verplichtingen worden gewaardeerd tegen de geldende marktrente voor langlopende leningen ten tijde van het aangaan van de verplichting. Daarbij geldt dat bij een daling van de rentestand, de verplichting dienovereenkomstig hoger mag worden gewaardeerd en bij een nadien optredende stijging van de rentestand de verplichting dienovereenkomstig lager moet worden gewaardeerd, doch niet lager dan naar de rente waartegen de verplichting oorspronkelijk is gewaardeerd.</t>
    </r>
    <r>
      <rPr>
        <sz val="12"/>
        <rFont val="Times New Roman"/>
        <family val="1"/>
      </rPr>
      <t xml:space="preserve"> </t>
    </r>
  </si>
  <si>
    <r>
      <t>Feitelijke verplichtingen,</t>
    </r>
    <r>
      <rPr>
        <sz val="10"/>
        <color indexed="8"/>
        <rFont val="Arial"/>
        <family val="2"/>
      </rPr>
      <t xml:space="preserve"> voorwaardelijke en niet verwerkte verplichtingen worden toegelicht.</t>
    </r>
  </si>
  <si>
    <t>Verplichtingen onder opschortende voorwaarden worden toegelicht als zij niet in de balans zijn opgenomen.</t>
  </si>
  <si>
    <t>Bij de toepassing van de grondslagen wordt voorzichtigheid betracht Winsten worden slechts opgenomen voor zover zij op de balans datum zijn verwezenlijkt. Verplichtingen die hun oorsprong vinden vóór het einde van het boekjaar worden in acht genomen als zij voor het opmaken van de jaarrekening bekend zijn geworden Voorzienbare verplichtingen en mogelijke verliezen die hun oorsprong vinden vóór het einde van het boekjaar kunnen in acht worden genomen indien zij vóór het opmaken van de jaarrekening bekend zijn geworden.</t>
  </si>
  <si>
    <t>Voor overeenkomsten die voor de datum van de stelselwijziging zijn afgesloten kunnen de oude grondslagen toegepast worden.</t>
  </si>
  <si>
    <t>RJ 270.701</t>
  </si>
  <si>
    <t xml:space="preserve">Over de baten moet worden uiteengezet: </t>
  </si>
  <si>
    <t xml:space="preserve">Voor middelgrote rechtspersonen die gebruik maken van het samentrekken van posten in de winst- en verliesrekening tot de post ‘bruto-bedrijfsresultaat’, is het toegestaan om de toelichting van elke belangrijke opbrengstcategorie niet in bedragen maar in percentages van de totale opbrengsten te vermelden. </t>
  </si>
  <si>
    <r>
      <rPr>
        <b/>
        <sz val="10"/>
        <color indexed="8"/>
        <rFont val="Arial"/>
        <family val="2"/>
      </rPr>
      <t>NIEUW IN 2023</t>
    </r>
    <r>
      <rPr>
        <sz val="10"/>
        <color indexed="8"/>
        <rFont val="Arial"/>
        <family val="2"/>
      </rPr>
      <t xml:space="preserve">: </t>
    </r>
  </si>
  <si>
    <t>Voor de tegemoetkoming van de NOW komen de volgende presentatiewijzen van de verwerkte subsidiebate in de winst-en-verliesrekening in aanmerking:</t>
  </si>
  <si>
    <t xml:space="preserve">- onder de ‘overige opbrengsten’ of als een afzonderlijke post; of </t>
  </si>
  <si>
    <t xml:space="preserve">Voor de tegemoetkoming van de NOW komen de volgende presentatiewijzen van de verwerkte subsidiebate in de winst-en-verliesrekening in aanmerking: </t>
  </si>
  <si>
    <t xml:space="preserve">Vermeld moet worden de beloning van bestuurders en oud-bestuurders gezamenlijk en van commissarissen en oud-commissarissen gezamenlijk. De bezoldiging omvat salaris, tantième en pensioenlasten, vergoedingen in natura, sociale lasten, fiscale lasten aandelenopties en afkoopsom bij ontslag.
</t>
  </si>
  <si>
    <t>Wanneer bestuurstaken zijn verdeeld over uitvoerende en niet uitvoerende bestuurders (‘one-tier board’, zie art. 2:129a en 239a BW) is splitsing van de bezoldiging overeenkomstig die verdeling vereist, tenzij deze te herleiden is tot een enkele natuurlijke persoon.</t>
  </si>
  <si>
    <t>Som der kosten</t>
  </si>
  <si>
    <t>Met afzonderlijke toelichting van het totaal van de afschrijvingen. Deze detaillering kan voor middelgroot en klein ook verplicht zijn als niet gekozen wordt om alleen het bruto-bedrijfsresultaat te presenteren.</t>
  </si>
  <si>
    <t>Simultane afwikkeling is voor het salderen van latenties geen vereiste meer.</t>
  </si>
  <si>
    <t>grote rechtspersonen moeten ook de volgende toelichtingen bij belastingen:</t>
  </si>
  <si>
    <t xml:space="preserve">Ook moet worden toegelicht wat de aard en de verbinding met de verbonden partij is. </t>
  </si>
  <si>
    <t xml:space="preserve">Middelgrote nv's moeten echter wel transacties met hun voornaamste aandeelhouders en ook met hun bestuurders en commissarissen melden. </t>
  </si>
  <si>
    <t xml:space="preserve">Het kasstroomoverzicht wordt voorzien van een toelichting, waarin aandacht wordt besteed aan de aspecten die voor een goed begrip van het kasstroomoverzicht van belang zijn. Aanbevolen wordt om belangrijke verschillen tussen posten in het kasstroomoverzicht en mutatieoverzichten van activa en passiva toe te lichten. Ook wordt aanbevolen in het bestuursverslag nader in te gaan op de in het kasstroomoverzicht gepresenteerde gegevens.  </t>
  </si>
  <si>
    <t xml:space="preserve">Op basis van BW 2:391 is het veelal van belang dat de rechtspersoon, om zijn belanghebbenden te informeren, in het bestuursverslag aandacht besteed aan de door de rechtspersoon te voorziene ontwikkelingen, risico’s en onzekerheden, de genomen en voorziene maatregelen, mogelijke overheidssteun en de verwachte impact op de activiteiten, de liquiditeit, het resultaat en het vermogen. </t>
  </si>
  <si>
    <t>Mededeling wordt gedaan over de werkzaamheden op het gebied van onderzoek en ontwikkeling.</t>
  </si>
  <si>
    <t>Grote rechtspersonen zijn niet vrijgesteld van informatieverstrekking over het gedeelte van het agio en het gestort en opgevraagd kapitaal, dat fiscaal niet als gestort kan worden aangemerkt. Ook moeten grote rechtspersonen informatie verstrekken over de beginstand en de mutaties gedurende het boekjaar van de door de rechtspersoon verleende rechten tot het nemen of verkrijgen van aandelen.</t>
  </si>
  <si>
    <r>
      <t>- een nadere toelichting van de 'overige bedrijfskosten' als deze post omvangrijk is, zonodig voorz</t>
    </r>
    <r>
      <rPr>
        <sz val="10"/>
        <rFont val="Arial"/>
        <family val="2"/>
      </rPr>
      <t>ien van een specificatie</t>
    </r>
  </si>
  <si>
    <t>- additionele informatie ten aanzien van de categoriale kostensoorten, waaronder het totaalbedrag van de in de winst-en-verliesrekening verwerkte afschrijvingen en het totaalbedrag van de in de winst-en-verliesrekening verwerkte lonen en salarissen, als de functionele indeling wordt toegepast.</t>
  </si>
  <si>
    <t>Uitsluitend de mutaties die vanwege de overige Richtlijnen rechtstreeks in het vermogen mogen worden gemuteerd, kunnen buiten de staat van baten en lasten blijven.</t>
  </si>
  <si>
    <t>Verplichtingen die niet in de balans worden opgenomen worden behandeld volgens de overige Richtlijnen.</t>
  </si>
  <si>
    <t>Baten uit nalatenschappen worden tegen de reële waarde opgenomen zodra de omvang betrouwbaar kan worden vastgesteld, zoals bij ontvangst van een akte van verdeling, of eerder als voorschotten zijn verkregen.</t>
  </si>
  <si>
    <t>Proportionele consolidatie is toegestaan als de rechten op grond van een regeling tot samenwerking kunnen worden uitgeoefend.</t>
  </si>
  <si>
    <t>Over het aanhouden van een belang om te vervreemden gelden diverse randvoorwaarden:</t>
  </si>
  <si>
    <t>Bij de eerste verwerking moet worden gewaardeerd tegen reële waarde. Transactiekosten worden direct in de winst-en-verliesrekening vermeld als mutaties in de reële waarde ook in de resultaten worden opgenomen.</t>
  </si>
  <si>
    <t xml:space="preserve">   a. hedging: volgens de afgedekte positie op reële waarde of kostprijs</t>
  </si>
  <si>
    <t>De geamortiseerde kostprijs is de eerste boekwaarde verminderd met aflossingen op de hoofdsom, met amortisatie van (dis)agio tot aflossingsdatum en verminderd met afboekingen wegens bijzondere waardevermindering of oninbaarheid. Amortisatie moet volgens de effectieve rentemethode plaats vinden. De lineaire methode is echter toegestaan als dit niet tot een belangrijk verschil leidt.</t>
  </si>
  <si>
    <t>Wanneer gekozen wordt voor classificatie van financiële instrumenten op basis van de economische realiteit, wordt voor de verwerking in de balans en winst-en-verliesrekening verwezen naar de desbetreffende alinea’s uit hoofdstuk 290 ‘Financiële instrumenten’.</t>
  </si>
  <si>
    <t>Een financieel instrument is eigen vermogen als:</t>
  </si>
  <si>
    <t>Als de actuele waarde wordt bepaald met modellen worden de aannames vermeld.</t>
  </si>
  <si>
    <t>Dit geldt niet voor een financieel actief en een financiële verplichting, als de bevoegdheid en ook het stellige voornemen bestaat tot (netto of simultaan) verrekenen.</t>
  </si>
  <si>
    <t>Beschreven moeten worden doelstellingen en beleid inzake risicobeheer met inbegrip van het beleid over hedging. Inzake de reële-waardehedges worden per hedge-strategie beschreven de hedge-strategie, het hedge-instrument, de aard van de afgedekte risico’s en de toekomstige kasstromen en het tijdstip van verwachte transacties en mutaties in het eigen vermogen.</t>
  </si>
  <si>
    <t>Als een hedgerelatie tot een significant liquiditeitsrisico leidt, moeten aard, omvang, omstandigheden en moment waarop kasstromen of verplichtingen zich kunnen voordoen worden vermeld.</t>
  </si>
  <si>
    <t>Bij toepassing van kostprijshedge-accounting moet per elke balansdatum de ineffectiviteit worden bepaald. Als en voor zover de ineffectiviteit op balansdatum resulteert in een cumulatief verlies moet de ineffectiviteit in de winst-en-verliesrekening worden verwerkt.</t>
  </si>
  <si>
    <t xml:space="preserve">De jaarrekening wordt ondertekend door de bestuurders van de vennootschap. Doorgaans zal die datum gelijk zijn aan de opmaakdatum van de jaarrekening. Formeel zijn echter het besluit tot opmaak van de jaarrekening en de ondertekening ervan twee verschillende handelingen dei niet tegelijkertijd hoeven te worden uitgevoerd. </t>
  </si>
  <si>
    <t>AFM</t>
  </si>
  <si>
    <t>art.</t>
  </si>
  <si>
    <t>BAW</t>
  </si>
  <si>
    <t>BMJ</t>
  </si>
  <si>
    <t>bv</t>
  </si>
  <si>
    <t>BW</t>
  </si>
  <si>
    <t>CV</t>
  </si>
  <si>
    <t>IB</t>
  </si>
  <si>
    <t>= Wet inkomstenbelasting 2001</t>
  </si>
  <si>
    <t>SBR</t>
  </si>
  <si>
    <t>RJk</t>
  </si>
  <si>
    <t>RJ</t>
  </si>
  <si>
    <t>nv</t>
  </si>
  <si>
    <t>VOF</t>
  </si>
  <si>
    <t>VPB</t>
  </si>
  <si>
    <t>= Autoriteit Financiële Markten</t>
  </si>
  <si>
    <t>= Besluit actuele waarde</t>
  </si>
  <si>
    <t>= Besluit modellen jaarrekening</t>
  </si>
  <si>
    <t>= Besloten vennootschap</t>
  </si>
  <si>
    <t>= Burgerlijk Wetboek</t>
  </si>
  <si>
    <t>= Commanditaire vennootschap</t>
  </si>
  <si>
    <t>= Deponeringsjaarrekening</t>
  </si>
  <si>
    <t>= Directeur-grootaandeelhouder</t>
  </si>
  <si>
    <t>= Fiscaal</t>
  </si>
  <si>
    <t>= Grote rechtspersoon</t>
  </si>
  <si>
    <t>= Inrichtingsjaarrekening</t>
  </si>
  <si>
    <t>= Kleine rechtspersoon</t>
  </si>
  <si>
    <t>= Middelgrote rechtspersoon</t>
  </si>
  <si>
    <t>= Miljoen euro's</t>
  </si>
  <si>
    <t>= Naamloze vennootschap</t>
  </si>
  <si>
    <t>= Richtlijnen voor de jaarverslaggeving (voor middelgrote en grote ­rechtspersonen)</t>
  </si>
  <si>
    <t>= Richtlijnen voor de jaarverslaggeving (voor micro- en kleine rechtspersonen)</t>
  </si>
  <si>
    <t>= Standard Business Reporting (door toepassing van XBRL)</t>
  </si>
  <si>
    <t>= Uitzondering, zie de betreffende regelgeveing voor de exacte inhoud</t>
  </si>
  <si>
    <t>= Vennootschap onder firma</t>
  </si>
  <si>
    <t>= Wet op de vennootschapsbelasting 1969</t>
  </si>
  <si>
    <t>= Algemeen</t>
  </si>
  <si>
    <t>= (Wets)artikel</t>
  </si>
  <si>
    <t>De rechtspersoon vermeldt in de toelichting volgens welke standaarden de jaarrekening is opgesteld</t>
  </si>
  <si>
    <t>BW 2:362,10</t>
  </si>
  <si>
    <t xml:space="preserve">Als een stelselwijziging grote invloed heeft op toekomstige jaren wordt dat toegelicht. </t>
  </si>
  <si>
    <t>Als een schattingswijziging grote invloed heeft op toekomstige jaren wordt dat toegelicht</t>
  </si>
  <si>
    <t>RJ 150.204</t>
  </si>
  <si>
    <t>Opgenomen wordt, onderscheiden  naar intern gegenereerde immateriële vaste activa en gekochte immateriële vaste activa:</t>
  </si>
  <si>
    <t>a. de economische levensduur of de gehanteerde afschrijvingspercentages</t>
  </si>
  <si>
    <t>c. de historische kostprijs en de cumulatieve afschrijvingen (inclusief bijzondere waardeverminderingen) aan het begin en het einde van het boekjaar</t>
  </si>
  <si>
    <t>d. de post in de winst-en-verliesrekening waarin de afschrijving van de immateriële vaste activa is opgenomen.</t>
  </si>
  <si>
    <t>In de kostprijs worden alle kosten opgenomen die eraan bijdragen de voorraden op de huidige plaats en in hun huidige staat staat te brengen, verminderd met kortingen. De bijkomende kosten omvatten onder meer de invoerrechten en andere belastingen. Deze kosten worden verwerkt in de verkrijgingsprijs zodra de verplichting ontstaat.</t>
  </si>
  <si>
    <t>Kleine en middelgrote rechtspersonen mogen het bruto-omzetresultaat presenteren.</t>
  </si>
  <si>
    <t>Als een vordering wordt gecedeerd (overgedragen) waarbij de debiteur op de hoogte wordt gesteld van de overdracht verdwijnt de vorderingen van de balans.</t>
  </si>
  <si>
    <t>- herstel van materiële fouten</t>
  </si>
  <si>
    <t>RJ 115.207</t>
  </si>
  <si>
    <t>Naast een beschrijving opnemen van de hoofdlijnen van de pensioenregeling en de wijze van berekening van actuariële en financiële resultaten wordt onder meer vermeld:</t>
  </si>
  <si>
    <t>RJ 212.443</t>
  </si>
  <si>
    <r>
      <rPr>
        <b/>
        <sz val="10"/>
        <color indexed="8"/>
        <rFont val="Arial"/>
        <family val="2"/>
      </rPr>
      <t>NIEUW IN 2023</t>
    </r>
    <r>
      <rPr>
        <sz val="10"/>
        <color indexed="8"/>
        <rFont val="Arial"/>
        <family val="2"/>
      </rPr>
      <t>: De herstelvoorziening wordt gewoonlijk gewaardeerd tegen de nominale waarde.</t>
    </r>
  </si>
  <si>
    <t>RJ 254.108</t>
  </si>
  <si>
    <r>
      <rPr>
        <b/>
        <sz val="10"/>
        <color indexed="8"/>
        <rFont val="Arial"/>
        <family val="2"/>
      </rPr>
      <t>NIEUW IN 2023:</t>
    </r>
    <r>
      <rPr>
        <sz val="10"/>
        <color indexed="8"/>
        <rFont val="Arial"/>
        <family val="2"/>
      </rPr>
      <t xml:space="preserve"> De bpm wordt niet gepresenteerd als netto-omzet. Als het belastbare feit voor de heffing van de bpm plaatsvindt op een tijdstip vóór de levering aan een uiteindelijke koper, dan verantwoordt de rechtspersoon een overlopende actiefpost ter hoogte van het bedrag van de verschuldigde bpm.</t>
    </r>
  </si>
  <si>
    <t xml:space="preserve">RJ 272.306
</t>
  </si>
  <si>
    <t xml:space="preserve">RJ 272.506
</t>
  </si>
  <si>
    <t>Grote en middelgrote rechtspersonen zijn niet vrijgesteld van de vereisten over onder meer de volgende toelichtingen bij belastingen:</t>
  </si>
  <si>
    <r>
      <t xml:space="preserve">Grote rechtspersonen zijn niet vrijgesteld van de vereisten over onder meer de volgende toelichtingen bij </t>
    </r>
    <r>
      <rPr>
        <b/>
        <sz val="10"/>
        <color indexed="8"/>
        <rFont val="Arial"/>
        <family val="2"/>
      </rPr>
      <t>belastingen</t>
    </r>
    <r>
      <rPr>
        <sz val="10"/>
        <color indexed="8"/>
        <rFont val="Arial"/>
        <family val="2"/>
      </rPr>
      <t>:</t>
    </r>
  </si>
  <si>
    <t>Van deelnemingen moet worden vermeld de naam, de woonplaats en het aandeel (percentage) in het kapitaal van:</t>
  </si>
  <si>
    <t>Voor OOB's wordt het voor rapporteringsperioden die zijn aangevangen op of na 15 december 2020 verplicht om te rapporteren over fraude in de controleverklaring. Voor niet-OOB's geldt deze verplichting voor rapporteringsperioden die zijn aangevangen op of na 15 december 2021. Daarnaast geldt voor OOB's en niet-OOB's voor rapporteringsperioden die zijn aangevangen op of na 15 december 2021 de verplichting om te rapporteren over de continuïteit van de onderneming. Eerdere toepassing wordt aanbevolen.</t>
  </si>
  <si>
    <t>Duurzaamheidsverslaggeving</t>
  </si>
  <si>
    <t>CORPORATE SUSTAINABILITY REPORTING DIRECTIVE (CSRD)</t>
  </si>
  <si>
    <t>De CSRD wordt stapsgewijs ingevoerd:</t>
  </si>
  <si>
    <t>De organisaties van openbaar belang betreffen banken, verzekeraars en beursgenoteerde vennootschappen die nu al vallen onder de reikwijdte van de Non-Financial Reporting Directive (NFRD).</t>
  </si>
  <si>
    <t>In groepsstructuren kunnen groepsmaatschappijen vrijgesteld worden van de duurzaamheidsrapportage als aan de volgende voorwaarden wordt voldaan:</t>
  </si>
  <si>
    <t>De duurzaamheidsrapportage omvat:</t>
  </si>
  <si>
    <t>1. Het bedrijfsmodel</t>
  </si>
  <si>
    <t>2. Het beleid</t>
  </si>
  <si>
    <t>3. De uitkomsten van het beleid</t>
  </si>
  <si>
    <t>4. De risico’s en risicomanagement 5. De kritieke prestatie­indicatoren</t>
  </si>
  <si>
    <t xml:space="preserve">Het duurzaamheidsverslag wordt als volgt gestructureerd: </t>
  </si>
  <si>
    <t xml:space="preserve">Jaarlijkse wijziging in intrinsieke waarde wordt eveneens via de loonkosten verwerkt. Als geen beurswaarde bekend is, moet een waardebepaling worden verricht, bij voorkeur bevestigd door een onafhankelijke deskundige. </t>
  </si>
  <si>
    <t xml:space="preserve">d. opties einde boekjaar met daarbij de informatie als bij b en ook de belangrijkste voorwaarden bij de uitoefening, de financiering en andere gegevens ten behoeve van de beoordeling van de waarde van de opties. </t>
  </si>
  <si>
    <t>BW 384,5</t>
  </si>
  <si>
    <t>b. de gehanteerde afschrijvingsmethoden</t>
  </si>
  <si>
    <t>* De RJk bundel 2020 B5.317 t/m B5.321 maakte onderscheid in categoraal en functioneel. Vanaf de RJk-bundel 2021 zijn de projectopbrengsten en -kosten in deze paragrafen beschreven.</t>
  </si>
  <si>
    <t>Bij toepassing van het functionele model moeten de lonen, sociale lasten en pensioenlasten worden toegelicht zoals die volgens het categoriale model in de winst- en-verliesrekening zouden zijn opgenomen.</t>
  </si>
  <si>
    <t>Ook vermelden zij het gemiddeld aantal werknemers, ingedeeld naar de wijze die is afgestemd op de inrichting van het bedrijf. Ook wordt het aantal werknemers dat werkzaam is in het buitenland vermeld.</t>
  </si>
  <si>
    <t>Gebeurtenissen die na het vaststellen van de jaarrekening plaatsvinden en tot gevolg hebben dat de jaarrekening in ernstige mate tekortschiet in het geven van het vereiste inzicht, moeten worden gemeld aan de aandeelhouders en aan het handelsregister.</t>
  </si>
  <si>
    <t>In de enkelvoudige jaarrekening van de moedermaatschappij wordt - bij waardering tegens de vermogensmutatiemethode van de deelneming in de dochter - de waardering van het onroerend goed van de ter beschikking stellende dochter aangepast alsof zij de onroerende zaak als eigen gebruik had gewaardeerd. Daarmee blijft het geconsolideerde en enkelvoudige vermogen gelijk.</t>
  </si>
  <si>
    <t>- rente-, kasstroom- en liquiditeitsrisico: vermelding van renteherzienings- of eerdere aflossingsdata en effectieve rentevoeten.
De vrijstelling voor middelgrote rechtspersonen van informatie over het liquiditeitsrisico is vervallen</t>
  </si>
  <si>
    <t>- reële waarde</t>
  </si>
  <si>
    <t>5. De kritieke prestatieindicatoren</t>
  </si>
  <si>
    <t>- organisaties van openbaar belang met meer dan 500 werknemers
(gemiddeld, geconsolideerd) rapporteren voor het eerst over 2024</t>
  </si>
  <si>
    <t>- grote ondernemingen met een EU-rechtsvorm rapporteren voor het
eerst over 2025</t>
  </si>
  <si>
    <t>- middelgrote en kleine beursvennootschappen rapporteren voor het eerst over 2026</t>
  </si>
  <si>
    <t>- niet-­EU-­ondernemingen die voldoen aan bepaalde voorwaarden rapporteren voor het eerst over 2028</t>
  </si>
  <si>
    <t>- De duurzaamheidsinformatie van de onderneming is onderdeel van het geconsolideerde be­stuursverslag van het groepshoofd (opgesteld in de door de lidstaat toegestane talen); en</t>
  </si>
  <si>
    <t>- De duurzaamheidsinformatie in het geconsolideerde bestuursverslag moet in overeenstem­ming zijn met de door de EU goedgekeurde verslaggevingsstandaarden of standaarden die vergelijkbaar zijn; en</t>
  </si>
  <si>
    <t>- Het bestuursverslag van de uitgezonderde groepsmaatschappij bevat een verwijzing (weblink) naar het geconsolideerde bestuursverslag van het groepshoofd.</t>
  </si>
  <si>
    <t>- algemeneinformatie</t>
  </si>
  <si>
    <t>- informatieovermilieuenklimaat(Environment)</t>
  </si>
  <si>
    <t>- informatieoversocialeaspecten(Social)</t>
  </si>
  <si>
    <t>- informatie over bestuurlijke inrichting (Governance)</t>
  </si>
  <si>
    <t>Vermeld wordt dat sprake is van een materiële fout, het effect en de aard en omvang ervan.</t>
  </si>
  <si>
    <t>inclusief de met deze punten samenhangende latente belastingen</t>
  </si>
  <si>
    <t>- sommige valutakoersverschillen</t>
  </si>
  <si>
    <t>BW 2:382
BW 2:396,5</t>
  </si>
  <si>
    <t>Duurzaamheid</t>
  </si>
  <si>
    <t>Onderdelen</t>
  </si>
  <si>
    <t>Toelichting op het kasstroomoverzicht</t>
  </si>
  <si>
    <t>Checklist Jaarrekening MKB 2024</t>
  </si>
  <si>
    <t>Bijlage bij SRA Checklist Jaarrekening MKB 2024</t>
  </si>
  <si>
    <t>© 2024 SRA</t>
  </si>
  <si>
    <t xml:space="preserve">De inhoud van deze checklist is gelijk aan de pocket Jaarrekening MKB Checklist 2024, die tot stand is gekomen op initiatief van SRA. 
Het copyright van deze uitgave ligt bij SRA. De inhoud mag niet worden aangepast of openbaar gemaakt zonder toestemming van de uitgever. Gebruik is alleen toegestaan binnen het kantoor waarvoor de licentie is afgegeven. </t>
  </si>
  <si>
    <t>Gewijzigd in 2024</t>
  </si>
  <si>
    <t>x,nieuw</t>
  </si>
  <si>
    <t>som activa (kostprijs basis) historische kostprijs &gt; 25 mio</t>
  </si>
  <si>
    <t>netto omzet &gt; 50 mio</t>
  </si>
  <si>
    <t>som activa (kostprijs basis) &gt; 7,5 mio, &lt; 25 mio</t>
  </si>
  <si>
    <t>netto omzet &gt; 15 mio, &lt; 50 mio</t>
  </si>
  <si>
    <t>som activa (kostprijs basis) &gt; 0,45 mio, &lt; 7,5 mio</t>
  </si>
  <si>
    <t>netto omzet &gt; 0,9 mio, &lt; 15 mio</t>
  </si>
  <si>
    <t>som activa (kostprijs basis) &lt; 0,45 mio</t>
  </si>
  <si>
    <t>netto omzet &lt; 0,9 mio</t>
  </si>
  <si>
    <r>
      <rPr>
        <b/>
        <sz val="10"/>
        <color rgb="FF000000"/>
        <rFont val="Arial"/>
        <family val="2"/>
      </rPr>
      <t>NIEUW IN 2024:</t>
    </r>
    <r>
      <rPr>
        <sz val="10"/>
        <color rgb="FF000000"/>
        <rFont val="Arial"/>
        <family val="2"/>
      </rPr>
      <t xml:space="preserve"> In plaats van 'ernstige onzekerheid' wordt nu consistent de term 'materiële onzekerheid' gehanteerd in de RJ(k). Deze terminologie wordt gevolgd in deze checklist. </t>
    </r>
  </si>
  <si>
    <t xml:space="preserve">Bij de waardering van activa en passiva wordt uitgegaan van de veronderstelling dat de werkzaamheden van de rechtspersoon worden voortgezet (continuïteitsbasis), tenzij die veronderstelling materieel onjuist is. </t>
  </si>
  <si>
    <t>RJ 170.101 en
RJk A2.211</t>
  </si>
  <si>
    <t xml:space="preserve">RJ 170.201 </t>
  </si>
  <si>
    <r>
      <t xml:space="preserve">Indien ‘gerede twijfel’ (is materiële onzekerheid) over de continuïteit bestaat, wordt dit onder mededeling van de invloed op het vermogen en resultaat uiteengezet in de toelichting.
</t>
    </r>
    <r>
      <rPr>
        <b/>
        <sz val="10"/>
        <color rgb="FF000000"/>
        <rFont val="Arial"/>
        <family val="2"/>
      </rPr>
      <t xml:space="preserve">NIEUW IN 2024: </t>
    </r>
    <r>
      <rPr>
        <sz val="10"/>
        <color indexed="8"/>
        <rFont val="Arial"/>
        <family val="2"/>
      </rPr>
      <t>In de bijlage van RJ 170 worden vier continuïteitsscenario's en de relevante verslaggevingsvoorschriften per scenario beschreven.</t>
    </r>
  </si>
  <si>
    <t>Een waarderingsstelsel dat in overeenstemming is met goed koopmansgebruik mag worden gewijzigd in een ander stelsel dat eveneens in overeenstemming met goed koopmansgebruik is.</t>
  </si>
  <si>
    <t>Hierbij geldt wel de voorwaarde dat de stelselwijziging en het tijdstip waarop dit gebeurt niet wordt ingegeven door willekeur of het behalen van een incidenteel fiscaal voordeel.</t>
  </si>
  <si>
    <r>
      <t xml:space="preserve">Fouten in de waardering moeten zoveel mogelijk worden hersteld in de jaren waarin zij zijn gemaakt. Indien dit niet meer mogelijk is via correctie van de aangifte, navordering, ambtshalve vermindering of de vrijwillige betaling van belasting, dient herstel te geschieden met de foutenleer. Herstel vindt dan plaats in het oudste nog openstaande jaar.
</t>
    </r>
    <r>
      <rPr>
        <b/>
        <sz val="10"/>
        <color rgb="FF000000"/>
        <rFont val="Arial"/>
        <family val="2"/>
      </rPr>
      <t xml:space="preserve">GEWIJZIGD IN 2024: </t>
    </r>
    <r>
      <rPr>
        <sz val="10"/>
        <color indexed="8"/>
        <rFont val="Arial"/>
        <family val="2"/>
      </rPr>
      <t>De bepaling dat bij een retrospectieve verwerking van fiscale correcties dergelijke correcties worden toegelicht is vervallen voor microrechtspersonen.</t>
    </r>
  </si>
  <si>
    <r>
      <t xml:space="preserve">Indien op fiscale waarderingsgrondslagen wordt gewaardeerd, behoeven correcties niet te worden doorgevoerd  in de vergelijkende cijfers.
</t>
    </r>
    <r>
      <rPr>
        <b/>
        <sz val="10"/>
        <color rgb="FF000000"/>
        <rFont val="Arial"/>
        <family val="2"/>
      </rPr>
      <t xml:space="preserve">NIEUW IN 2024: </t>
    </r>
    <r>
      <rPr>
        <sz val="10"/>
        <color indexed="8"/>
        <rFont val="Arial"/>
        <family val="2"/>
      </rPr>
      <t>Om de aansluiting met de fiscale aangifte te behouden volgt de verwerking van fiscale correcties in de jaarrekening de fiscale verwerking. Dit betekent dat als in de fiscale aangifte een fiscale correctie leidt tot een aanpassing van de belastbare winst over een eerder boekjaar, de fiscale correctie in de jaarrekening van het huidige boekjaar wordt verwerkt in de vergelijkende cijfers. De omvang van de correctie doet niet ter zake. Als in de fiscale aangifte een fiscale correctie over een voorafgaand boekjaar leidt tot een aanpassing van de belastbare winst over het huidige boekjaar, dan wordt de fiscale correctie in de jaarrekening van het huidige boekjaar prospectief verwerkt. Ook in deze situatie is de omvang van de correctie niet van belang.</t>
    </r>
  </si>
  <si>
    <t>Grondslagen van waardering voor de bepaling van de kostprijs en/of de actuele waarde worden uiteengezet.</t>
  </si>
  <si>
    <r>
      <rPr>
        <b/>
        <sz val="10"/>
        <color rgb="FF000000"/>
        <rFont val="Arial"/>
        <family val="2"/>
      </rPr>
      <t>NIEUW IN 2023:</t>
    </r>
    <r>
      <rPr>
        <sz val="10"/>
        <color indexed="8"/>
        <rFont val="Arial"/>
        <family val="2"/>
      </rPr>
      <t xml:space="preserve"> In 2023 is de regeling voor willekeurige afschrijving tijdelijk verruimd. Op bepaalde nieuwe, niet eerder in gebruik genomen bedrijfsmiddelen mag eenmalig ten hoogste 50% van de af te schrijven aanschaffings- of voortbrengingskosten willekeurig worden afgeschreven. Voorwaarde is dat ter zake van de aanschaf verplichtingen zijn aangegaan in het kalenderjaar 2023 of ter zake van de voortbrenging voortbrengingskosten zijn gemaakt in kalenderjaar 2023. Het bedrijfsmiddel dient voorts voor 1 januari 2026 in gebruik te zijn genomen. Bepaalde bedrijfsmiddelen zijn uitgesloten van de faciliteit.</t>
    </r>
  </si>
  <si>
    <t>Bij actuele waarde als prijsgrondslag vindt waardering plaats tegen reële waarde met verwerking van het verschil in de winst-en-verliesrekening in de periode waarin de wijziging zich voordoet. Daarnaast wordt een herwaarderingsreserve gevormd ten laste van het resultaat of de overige reserves.
De herwaarderingsreserve is niet hoger dan het verschil tussen de boekwaarde op basis van de verkrijgings- of vervaardigingsprijs en de boekwaarde op basis van de reële waarde waarop de herwaarderingsreserve betrekking heeft. Bij het bepalen van de boekwaarde op basis van de verkrijgings- of vervaardigingsprijs zijn twee (gelijkwaardige) methoden:
- er wordt geen rekening gehouden met afschrijving of waardevermindering; of
- er wordt rekening gehouden met de cumulatieve afschrijvingen en waardeverminderingen volgens het kostprijsmodel.
In de toelichting wordt de gehanteerde methode uiteengezet.</t>
  </si>
  <si>
    <t xml:space="preserve">RJ 213.113 </t>
  </si>
  <si>
    <t>Fiscaal mag op onroerende zaken die ter belegging worden gehouden niet verder dan tot 100% van de WOZ-waarde worden afgeschreven.</t>
  </si>
  <si>
    <r>
      <t xml:space="preserve">Bij waardering op fiscale grondslagen worden deelnemingen buiten de fiscale eenheid volgens de fiscale grondslag gewaardeerd (veelal kostprijs of lagere marktwaarde).
</t>
    </r>
    <r>
      <rPr>
        <b/>
        <sz val="10"/>
        <color rgb="FF000000"/>
        <rFont val="Arial"/>
        <family val="2"/>
      </rPr>
      <t>NIEUW IN 2024:</t>
    </r>
    <r>
      <rPr>
        <sz val="10"/>
        <color indexed="8"/>
        <rFont val="Arial"/>
        <family val="2"/>
      </rPr>
      <t xml:space="preserve"> Indien goodwill die is ontstaan bij de overname van aandelen in de fiscale aangifte wordt verwerkt in het eigen vermogen, dan wordt de goodwill in de jaarrekening op dezelfde wijze verwerkt.</t>
    </r>
  </si>
  <si>
    <t>- ‘lucky buy' het gedeelte dat niet hoger is dan de reële waarde van de identificeerbare niet-monetaire activa naar rato van de gewogen gemiddelde resterende gebruiksduur van de verworven afschrijfbare activa in de winst- en verliesrekening genomen.</t>
  </si>
  <si>
    <t>- verwerking voor wat betreft het restant: ineens ten gunste van de winst-en-verliesrekening</t>
  </si>
  <si>
    <r>
      <rPr>
        <b/>
        <sz val="10"/>
        <color rgb="FF000000"/>
        <rFont val="Arial"/>
        <family val="2"/>
      </rPr>
      <t>NIEUW IN 2024:</t>
    </r>
    <r>
      <rPr>
        <sz val="10"/>
        <color indexed="8"/>
        <rFont val="Arial"/>
        <family val="2"/>
      </rPr>
      <t xml:space="preserve"> De toelichtingsvereisten in RJ 216.406 zijn nu ook van toepassing voor negatieve goodwill die geen betrekking heeft op toekomstige verliezen en lasten.</t>
    </r>
  </si>
  <si>
    <t xml:space="preserve">De verwervingskosten van een deelneming moeten worden geactiveerd en zijn onderdeel van de kostprijs. Ook vervreemdingskosten zijn niet aftrekbaar. Financieringskosten in verband met de verwerving van een deelneming zijn daarentegen in principe wel aftrekbaar (m.u.v. de aftrekbeperking earningsstripping ex art. 15b Wet VPB 1969, art. 10a Wet VPB 1969 (aftrekbeperking rente verschuldigd aan verbonden partijen) of art. 10b Wet VPB 1969 (beperking renteaftrek hybride leningen). </t>
  </si>
  <si>
    <t>M.i.v. 01-01-2019 is renteaftrek beperkt tot - oorspronkelijk - 30%, maar per 1-1-2022 20% van de fiscale EBITDA. Deze beperking geldt zowel voor rente op interne als voor rente op externe leningen. Voor het mkb is de relevantie van deze aftrekbeperking gering, omdat het aftrekbare bedrag aan rente minimaal op € 1 mio euro wordt gesteld.</t>
  </si>
  <si>
    <r>
      <rPr>
        <b/>
        <sz val="10"/>
        <color indexed="8"/>
        <rFont val="Arial"/>
        <family val="2"/>
      </rPr>
      <t>NIEUW IN 2023:</t>
    </r>
    <r>
      <rPr>
        <sz val="10"/>
        <color indexed="8"/>
        <rFont val="Arial"/>
        <family val="2"/>
      </rPr>
      <t xml:space="preserve"> De bpm wordt niet gepresenteerd als netto-omzet en als onderdeel van de kostprijs van de voorraad. Als het belastbare feit voor de heffing van de bpm plaatsvindt op een tijdstip vóór de levering aan een uiteindelijke koper, dan verantwoordt de rechtspersoon een overlopende actiefpost ter hoogte van het bedrag van de verschuldigde bpm. </t>
    </r>
  </si>
  <si>
    <t>Voor de verwerking van garanties verwijst RJ 221 naar RJ 270.109b over garanties.</t>
  </si>
  <si>
    <t xml:space="preserve">Variabele vergoedingen kunnen onder andere bestaan uit kortingen, teruggaven, terugbetalingen, prijsconcessies, prestatiebonussen en sancties. Om de transactieprijs te bepalen moet de rechtspersoon een inschatting maken van de omvang van de variabele vergoeding als onderdeel van de totale vergoeding. Bij het maken van deze inschatting wordt voorzichtigheid toegepast en de omvang van de variabele vergoeding wordt aan het einde van elke verslaggevingsperiode geactualiseerd. </t>
  </si>
  <si>
    <t xml:space="preserve">De rechtspersoon moet opbrengsten verwerken per afzonderlijke prestatieverplichting zoals die blijken uit de overeenkomst. De alinea’s 108 tot en met 109c van RJ 270 zijn hiervoor van toepassing. Deze criteria worden toegepast op iedere afzonderlijke overeenkomst. Soms worden deze criteria echter toegepast op de afzonderlijk te identificeren prestatieverplichtingen van een overeenkomst, om zo de economische realiteit weer te geven. </t>
  </si>
  <si>
    <t>Als een overeenkomst een belangrijk financieringscomponent bevat, dan moet in de transactieprijs rekening gehouden worden met de effecten van de tijdswaarde van geld. Als de periode tussen de levering van de prestatieverplichting en de betaling van de vergoeding naar verwachting maximaal één jaar is, dan mag de rechtspersoon ervan uitgaan dat de financieringscomponent onbelangrijk is.</t>
  </si>
  <si>
    <t xml:space="preserve">Een wijziging van een bestaande overeenkomst, zoals meer- en minderwerk wordt verwerkt in overeenstemming met de economische realiteit van die wijziging. </t>
  </si>
  <si>
    <t>Claims worden alleen als opbrengst verwerkt als het waarschijnlijk is dat de opdrachtgever de claim zal aanvaarden en als het bedrag voldoende betrouwbaar kan worden bepaald. In dat geval wordt de beste schatting opgenomen. Voorzichtigheid wordt betracht om claims als opbrengst te verwerken.</t>
  </si>
  <si>
    <t xml:space="preserve">Een overgangsregeling voor de wijzigingen voor boekjaren die aanvangen op of na 1 januari 2022. Een wijziging in de grondslagen als gevolg van de herziene richtlijnen is een stelselwijziging. Als alternatief is het toegestaan om de wijzigingen -met uitzondering van die voor de presentatie en toelichting- alleen toe te passen op overeenkomsten die op of na 1 januari 2022 zijn aangegaan of gewijzigd. Eerdere toepassing is toegestaan. Voor overeenkomsten die voor de datum van de stelselwijziging zijn afgesloten moetenkunnen de oude grondslagen toegepast worden. </t>
  </si>
  <si>
    <t xml:space="preserve">De onderhanden projecten in de balans worden als een gesaldeerde post van de per project gerealiseerde projectopbrengsten, verminderd met verwerkte verliezen en gedeclareerde termijnen gepresenteerd. Het is niet meer toegestaan om het saldo van alle onderhanden projecten als één totaal in de balans te presenteren. </t>
  </si>
  <si>
    <t xml:space="preserve">Wanneer het saldo van een onderhanden project: </t>
  </si>
  <si>
    <r>
      <t xml:space="preserve">In het </t>
    </r>
    <r>
      <rPr>
        <b/>
        <i/>
        <sz val="10"/>
        <color indexed="8"/>
        <rFont val="Arial"/>
        <family val="2"/>
      </rPr>
      <t>categoriale model</t>
    </r>
    <r>
      <rPr>
        <sz val="10"/>
        <color indexed="8"/>
        <rFont val="Arial"/>
        <family val="2"/>
      </rPr>
      <t xml:space="preserve"> worden de in het boekjaar bestede kosten, verhoogd met winstopslag, verantwoord als netto-omzet.</t>
    </r>
  </si>
  <si>
    <t xml:space="preserve">Een verlieslatend contract wordt gebaseerd op de onvermijdbare kosten die ten minste moeten worden gemaakt om de overeenkomst te kunnen beëindigen. Het gaat om een verlies op contractsniveau, De totale projectkosten zijn in dit kader alle directe kosten die direct op het project betrekking hebben plus de kosten die toerekenbaar en toewijsbaar zijn aan de projectactiviteiten. 
</t>
  </si>
  <si>
    <t xml:space="preserve">De projectopbrengsten worden als netto-omzet gepresenteerd. Het presenteren van projectopbrengsten als wijziging in onderhanden projecten in de winst-en-verliesrekening is niet meer toegestaan. </t>
  </si>
  <si>
    <t>RJ 221.401 
RJk B5.317</t>
  </si>
  <si>
    <t>In geval van winstneming bij oplevering in het functionele model worden de bestede kosten als omzet en als kostprijs van de omzet verantwoord. In het jaar van oplevering wordt dan voorts de winstopslag als omzet opgenomen.</t>
  </si>
  <si>
    <r>
      <rPr>
        <b/>
        <sz val="10"/>
        <rFont val="Arial"/>
        <family val="2"/>
      </rPr>
      <t>GEWIJZIGD in 2024:</t>
    </r>
    <r>
      <rPr>
        <sz val="10"/>
        <rFont val="Arial"/>
        <family val="2"/>
      </rPr>
      <t xml:space="preserve"> Voor de classificatie van overlopende activa als vast of vlottend actief wordt nu verwezen naar de bepalingen van RJ 190, paragraaf 2.</t>
    </r>
  </si>
  <si>
    <r>
      <t xml:space="preserve">Indien overlopende activa een langlopend karakter hebben moet dat worden vermeld. 
</t>
    </r>
    <r>
      <rPr>
        <b/>
        <sz val="10"/>
        <rFont val="Arial"/>
        <family val="2"/>
      </rPr>
      <t>NIEUW IN 2024:</t>
    </r>
    <r>
      <rPr>
        <sz val="10"/>
        <rFont val="Arial"/>
        <family val="2"/>
      </rPr>
      <t xml:space="preserve"> Als de overlopende activa afzonderlijk onder de vlottende activa worden opgenomen, wordt in de toelichting aangegeven tot welk bedrag de resterende looptijd langer is dan een jaar.</t>
    </r>
  </si>
  <si>
    <t>Voor kleine rechtspersonen geldt de keuze om effecten te waarderen tegen verkrijgingsprijs of actuele waarde (reële waarde)</t>
  </si>
  <si>
    <t xml:space="preserve">Aandelen en obligaties dienen bij de eerste opname op reële waarde te worden gewaardeerd. </t>
  </si>
  <si>
    <t xml:space="preserve">RJ 226.201 </t>
  </si>
  <si>
    <t>BW 2:384,7 en 8</t>
  </si>
  <si>
    <t>Vervolgens worden zij gewaardeerd volgens de classificatie zoals vermeld bij financiële instrumenten (zie hoofdstuk E):</t>
  </si>
  <si>
    <t>hierboven verwijderd: 'Voor kortstondige vermindering…t/m…30 juni 2022.</t>
  </si>
  <si>
    <t>hierboven verwijderd: 'Er geldt een t/m 01-01-2019 afgeschaft.</t>
  </si>
  <si>
    <t xml:space="preserve">hieronder verwijderd: 'Beperking rente deelnemingsrente' </t>
  </si>
  <si>
    <r>
      <t xml:space="preserve">Tussenvormen van eigen en vreemd vermogen (samengestelde financiële instrumenten) worden op hun componenten beoordeeld en geclassificeerd als financiële verplichtingen, financiële activa of eigen-vermogensinstrumenten.
</t>
    </r>
    <r>
      <rPr>
        <b/>
        <sz val="10"/>
        <rFont val="Arial"/>
        <family val="2"/>
      </rPr>
      <t xml:space="preserve">GEWIJZIGD IN 2024: </t>
    </r>
    <r>
      <rPr>
        <sz val="10"/>
        <rFont val="Arial"/>
        <family val="2"/>
      </rPr>
      <t>De classificatie van een financieel instrument als eigen vermogen of als vreemd vermogen in de enkelvoudige jaarrekening kan worden gebaseerd op de juridische vorm van het instrument of op de economische realiteit (RJ 240.207).</t>
    </r>
  </si>
  <si>
    <t>Voor de werkgever zijn de kosten ter zake van uitreiking of toekenning van aandelen of optierechten niet aftrekbaar. Van opties moeten 
SAR-regelingen worden onderscheiden. De kosten daarvan zijn wel aftrekbaar, mits deze zijn toegekend aan werknemers waarvan het loon op jaarbasis niet uitgaat boven € 636.000 (bedrag 2023).</t>
  </si>
  <si>
    <r>
      <rPr>
        <b/>
        <sz val="10"/>
        <color rgb="FF000000"/>
        <rFont val="Arial"/>
        <family val="2"/>
      </rPr>
      <t>NIEUW IN 2023:</t>
    </r>
    <r>
      <rPr>
        <sz val="10"/>
        <color indexed="8"/>
        <rFont val="Arial"/>
        <family val="2"/>
      </rPr>
      <t xml:space="preserve"> In alinea 252.307 is toegevoegd dat bij waardering tegen de contante waarde de schattingen van toekomstige kasstromen en de disconteringsvoet op consistente wijze de veronderstellingen weergeven over prijsstijgingen als gevolg van inflatie. Schattingen van toekomstige kasstromen en de disconteringsvoet worden daarom beide in nominale termen of beide in reële termen uitgedrukt.</t>
    </r>
  </si>
  <si>
    <t>Er moet op actuariële grondslagen gewaardeerd worden, met een rekenrente die de actuele marktrente weerspiegelt.</t>
  </si>
  <si>
    <t>RJ 252.413
RJ 252.414 
RJ 252.416</t>
  </si>
  <si>
    <t>Ontslagvergoedingen</t>
  </si>
  <si>
    <t>hierboven verwijderd: 'Voor ontslagverdoedingen…t/m…tot een verplichting.</t>
  </si>
  <si>
    <t>RJ 271</t>
  </si>
  <si>
    <t>Op grond van RJ moet hiervoor een voorziening worden gevormd. Op grond van de RJk mogen jubileumuitkeringen en vergelijkbare uitkeringen in jaar van betaling als last in de winst- en verliesrekening worden verwerkt tenzij sprake is van een onvoorwaarlijke opbouw.</t>
  </si>
  <si>
    <t>RJ 271.203, RJ 271.206
RJk B14.106a</t>
  </si>
  <si>
    <t>Jubileumuitkeringen</t>
  </si>
  <si>
    <r>
      <rPr>
        <b/>
        <sz val="10"/>
        <color rgb="FF000000"/>
        <rFont val="Arial"/>
        <family val="2"/>
      </rPr>
      <t>NIEUW IN 2023:</t>
    </r>
    <r>
      <rPr>
        <sz val="10"/>
        <color indexed="8"/>
        <rFont val="Arial"/>
        <family val="2"/>
      </rPr>
      <t xml:space="preserve"> Verwerken van de overgang naar een andere verwerkingswijze van belangrijke onderdelen van een materieel vast actief, vervangingsinvesteringen en kosten van groot onderhoud:</t>
    </r>
  </si>
  <si>
    <t>- Voor de overgang naar een voorziening zijn geen overgangsbepalingen opgenomen.</t>
  </si>
  <si>
    <r>
      <rPr>
        <b/>
        <sz val="10"/>
        <color rgb="FF000000"/>
        <rFont val="Arial"/>
        <family val="2"/>
      </rPr>
      <t>NIEUW IN 2024:</t>
    </r>
    <r>
      <rPr>
        <sz val="10"/>
        <color indexed="8"/>
        <rFont val="Arial"/>
        <family val="2"/>
      </rPr>
      <t xml:space="preserve"> Als sprake is van langlopende overlopende passiva wordt aanbevolen om het kortlopende deel van de overlopende passiva te presenteren als kortlopende schuld.</t>
    </r>
  </si>
  <si>
    <r>
      <rPr>
        <b/>
        <sz val="10"/>
        <color rgb="FF000000"/>
        <rFont val="Arial"/>
        <family val="2"/>
      </rPr>
      <t xml:space="preserve">NIEUW IN 2024: </t>
    </r>
    <r>
      <rPr>
        <sz val="10"/>
        <color indexed="8"/>
        <rFont val="Arial"/>
        <family val="2"/>
      </rPr>
      <t>Als de overlopende passiva onder de kortlopende schulden worden gepresenteerd, moet in de toelichting worden aangegeven tot welk bedrag de resterende looptijd langer is dan een jaar. Voor kleine- en microrechtspersonen wordt dit aanbevolen.</t>
    </r>
  </si>
  <si>
    <t>De bepalingen van RJ 270 worden gewoonlijk toegepast op iedere afzonderlijke overeenkomst. Maar in bepaalde gevallen houden overeenkomsten zodanig verband met elkaar, dat ze niet goed te begrijpen zijn zonder ze in samenhang te beschouwen. Om de economische realiteit van deze overeenkomsten weer te geven, pas je in dat geval RJ 270 toe op de groep van overeenkomsten.</t>
  </si>
  <si>
    <t xml:space="preserve">Verwerking van opbrengsten vindt plaats per afzonderlijke prestatieverplichting zoals die blijken uit de overeenkomst. </t>
  </si>
  <si>
    <t xml:space="preserve">Belangrijke opties van afnemers kunnen als afzonderlijke prestatieverplichting worden geïdentificeerd en worden toegerekend in de periode dat de optie wordt uitgeoefend. </t>
  </si>
  <si>
    <t xml:space="preserve">Een apart aangeboden garantie wordt als afzonderlijke prestatieverplichting geïdentificeerd. </t>
  </si>
  <si>
    <t>Als sprake is van meerdere prestatieverplichtingen in een overeenkomst, moet de totale transactieprijs aan de prestatieverplichtingen worden toegerekend naar rato van de waarde van de prestatieverplichtingen.</t>
  </si>
  <si>
    <t>Bij het bepalen van de omvang van de opbrengst wordt rekening gehouden met de effecten van variabele vergoedingen, belangrijke financieringscomponenten en vergoedingen aan afnemers van goederen en diensten.</t>
  </si>
  <si>
    <t>Opbrengsten uit licenties worden, afhankelijk van de aard van de licentie, verwerkt als de verkoop van een goed of als het verlenen van een dienst.</t>
  </si>
  <si>
    <t>hierboven verwijderd: 'NIEUW IN 2022'</t>
  </si>
  <si>
    <t xml:space="preserve">De mutatie in voorraad gereed product en onderhanden werk wordt verwerkt als opbrengsten en kosten in de winst-en-verliesrekening.
Het is met ingang van 1 januari 2022 niet langer toegestaan dat projectopbrengsten als wijziging in onderhanden projecten worden gepresenteerd.
</t>
  </si>
  <si>
    <r>
      <rPr>
        <b/>
        <sz val="10"/>
        <color rgb="FF000000"/>
        <rFont val="Arial"/>
        <family val="2"/>
      </rPr>
      <t>GEWIJZIGD IN 2024:</t>
    </r>
    <r>
      <rPr>
        <sz val="10"/>
        <color indexed="8"/>
        <rFont val="Arial"/>
        <family val="2"/>
      </rPr>
      <t xml:space="preserve">Voor het kasstroomoverzicht wordt onder geldmiddelen verstaan alle liquide activa begrepen, zoals kasmiddelen, tegoeden op bankrekeningen, wissels en cheques, direct opeisbare deposito’s en zeer liquide beleggingen. </t>
    </r>
  </si>
  <si>
    <t>RJ 360.102</t>
  </si>
  <si>
    <r>
      <rPr>
        <b/>
        <sz val="10"/>
        <color rgb="FF000000"/>
        <rFont val="Arial"/>
        <family val="2"/>
      </rPr>
      <t>GEWIJZIGD IN 2024:</t>
    </r>
    <r>
      <rPr>
        <sz val="10"/>
        <color indexed="8"/>
        <rFont val="Arial"/>
        <family val="2"/>
      </rPr>
      <t xml:space="preserve"> Als rekening-courantposities bij banken, die op verzoek onmiddellijk opeisbaar zijn, integraal deel uitmaken van het cashmanagement van een rechtspersoon, worden deze rekening-courantposities, die in de balans zijn opgenomen onder de schulden, in het kasstroomoverzicht opgenomen als een onderdeel van de geldmiddelen. </t>
    </r>
  </si>
  <si>
    <t>RJ 360.102a</t>
  </si>
  <si>
    <t xml:space="preserve">Deze worden niet verwerkt, tenzij deze van grote betekenis zijn omdat de continuïteitsveronderstelling vervalt en de jaarrekening wordt opgesteld op basis van liquidatiewaarde. </t>
  </si>
  <si>
    <t>hierboven verwijderd: 'Een uitzondering t/m van de werkzaamheden
x, aangepast</t>
  </si>
  <si>
    <t>Als op het moment van het opmaken van de jaarrekening materiële onzekerheid over de continuïteit van het geheel van de werkzaamheden van de rechtspersoon bestaat, is Richtlijn 170 ‘Discontinuïteit en materiële onzekerheid over continuïteit’ van toepassing. Het opstellen van de jaarrekening vindt nog steeds plaats op basis van de continuïteitsveronderstelling. In die situatie moet een rechtspersoon een adequate uiteenzetting van de omstandigheden waarin de rechtspersoon verkeert in de toelichting opnemen.</t>
  </si>
  <si>
    <t>RJ 170.305</t>
  </si>
  <si>
    <t>Als door toepassing van de vrijstellingen het inzicht ernstig tekortschiet, behoort de microrechtspersoon aanvullende informatie te verstrekken. 
Dit geldt bijvoorbeeld bij materiële onzekerheid over de continuïteit.</t>
  </si>
  <si>
    <r>
      <t xml:space="preserve">a. de waarde van de activa volgens de balans met toelichting bedraagt, op de grondslag van de verkrijgings- en vervaardigingsprijs, niet meer dan </t>
    </r>
    <r>
      <rPr>
        <u/>
        <sz val="10"/>
        <color indexed="8"/>
        <rFont val="Arial"/>
        <family val="2"/>
      </rPr>
      <t>€ 0,45 mio</t>
    </r>
  </si>
  <si>
    <r>
      <t xml:space="preserve">b. de netto-omzet over het boekjaar bedraagt niet meer dan </t>
    </r>
    <r>
      <rPr>
        <u/>
        <sz val="10"/>
        <color indexed="8"/>
        <rFont val="Arial"/>
        <family val="2"/>
      </rPr>
      <t>€ 0,9 mio</t>
    </r>
  </si>
  <si>
    <t xml:space="preserve">RJ 640.208
</t>
  </si>
  <si>
    <t>hierboven verwijderd: 'de verwerking t/m verduidelijkt'</t>
  </si>
  <si>
    <t>- 25% van het bedrag van de giften maar maximaal met € 1.250 voor partners gezamenlijk (IB).</t>
  </si>
  <si>
    <t>- Als de nettovermogenswaarde van een deelneming negatief is, dan blijft het elimineren van intercompany-resultaten aan de orde zolang het actief nog niet aan derden is verkocht of anderszins is gerealiseerd. Deze eliminaties worden als overlopende post opgenomen.</t>
  </si>
  <si>
    <t>De eliminatie wordt verwerkt in de post waar de intercompany-transactie is verwerkt (bv. netto-omzet of overige opbrengsten). Bij upstream- of sidestream-sales wordt de eliminatie verwerkt in de post resultaat deelnemingen. In de balans kunnen eliminaties worden opgenomen als overlopende posten of door de waarde te verwerken in de post deelnemingen. Bij upstream-sales kan als alternatief de eliminatie verwerkt worden in de waarde van het verkregen actief.</t>
  </si>
  <si>
    <t>RJ 260.201
RJ 260.202
RJ 260.204
RJ 260.206
RJ 260.207</t>
  </si>
  <si>
    <r>
      <rPr>
        <b/>
        <sz val="10"/>
        <color rgb="FF000000"/>
        <rFont val="Arial"/>
        <family val="2"/>
      </rPr>
      <t>NIEUW IN 2024:</t>
    </r>
    <r>
      <rPr>
        <sz val="10"/>
        <color indexed="8"/>
        <rFont val="Arial"/>
        <family val="2"/>
      </rPr>
      <t xml:space="preserve"> In RJ 260 zijn drie inhoudelijke verduidelijkingen doorgevoerd.
- Een verlies op een intercompany-transactie wordt (proportioneel) geëlimineerd. Een dergelijk verlies kan een indicatie zijn van een bijzondere waardevermindering. Afhankelijk van de soort transactie is RJ 121.202 of RJ 220.322 van toepassing.
- In RJ 216.206 en 207 wordt nu beschreven op welke wijze de eliminatiebedragen voor upstream-sales en side-streamsales worden gepresenteerd in de balans en de winst-en-verliesrekening. Bij een downstream-sale is de mogelijkheid om het eliminatiebedrag in mindering te brengen op het resultaat van de desbetreffende deelneming komen te vervallen. 
</t>
    </r>
  </si>
  <si>
    <t>Bij toepassing van combinatie 3 zijn de presentatie- en toelichtingsvereisten van Titel 9 BW van toepassong. Die van IFRS worden niet gevolgd als deze strijdig zijn met die van Titel 9 BW.</t>
  </si>
  <si>
    <r>
      <rPr>
        <b/>
        <sz val="10"/>
        <color rgb="FF000000"/>
        <rFont val="Arial"/>
        <family val="2"/>
      </rPr>
      <t>NIEUW IN 2024:</t>
    </r>
    <r>
      <rPr>
        <sz val="10"/>
        <color indexed="8"/>
        <rFont val="Arial"/>
        <family val="2"/>
      </rPr>
      <t xml:space="preserve"> In paragraaf 2 van RJ 216 zijn de volgende zaken aangepast:
- De verkrijgende partij bepaalt of transacties die als onderdeel van de overname zijn overeengekomen, maar in feite geen deel uitmaken van de overname, op basis van de economische realiteit als afzonderlijke transacties worden verwerkt
- Bij een stapsgewijze overname wordt een eventueel belang van derden opgenomen voor het proportionele aandeel in de reële waarde van de identificeerbare activa en passiva op de overnamedatum. Dit geldt ook wanneer gekozen wordt om de identificeerbare activa en passiva van het reeds gehouden belang niet te herwaarderen.</t>
    </r>
  </si>
  <si>
    <t>RJ 216.201a
RJ 216.204
RJ 216.205
RJ 216.208</t>
  </si>
  <si>
    <t>- Als een deelnemingen eigen aandelen inkoopt van andere aandeelhouders waardoor het relatieve belang van de deelnemende rechtspersoon in die deelneming zodanig toeneemt dat beschikkingsmacht wordt verkregen, is sprake van een stapsgewijze overname. Hierdoor zijn de bepalingen van RJ 216.204 van toepassing voor de verwerking in de geconsolideerde jaarrekening.</t>
  </si>
  <si>
    <r>
      <rPr>
        <b/>
        <sz val="10"/>
        <color rgb="FF000000"/>
        <rFont val="Arial"/>
        <family val="2"/>
      </rPr>
      <t>NIEUW IN 2024:</t>
    </r>
    <r>
      <rPr>
        <sz val="10"/>
        <color indexed="8"/>
        <rFont val="Arial"/>
        <family val="2"/>
      </rPr>
      <t xml:space="preserve"> Alinea 115.109 geeft aan dat een op de balans opgenomen actief of post van het vreemd vermogen op de balans moet blijven staan als een transactie niet leidt tot een belangrijke verandering in de economische realiteit. Dergelijke transacties geven evenmin aanleiding tot het verantwoorden van resultaten. </t>
    </r>
  </si>
  <si>
    <t>RJ 115.104
RJ 115.105</t>
  </si>
  <si>
    <t>RJ 290.523a en b
RJ 940</t>
  </si>
  <si>
    <r>
      <rPr>
        <b/>
        <sz val="10"/>
        <color rgb="FF000000"/>
        <rFont val="Arial"/>
        <family val="2"/>
      </rPr>
      <t xml:space="preserve">GEWIJZIGD IN 2024: </t>
    </r>
    <r>
      <rPr>
        <sz val="10"/>
        <color indexed="8"/>
        <rFont val="Arial"/>
        <family val="2"/>
      </rPr>
      <t>Als sprake is van verschillende typen financiële instrumenten worden deze:
- als afzonderlijke posten per type financieel instrument in de balans onder het eigen vermogen gepresenteerd, óf 
- wordt het totaalbedrag van deze instrumenten als afzonderlijke post in de balans onder het eigen vermogen gepresenteerd. 
In de toelichting wordt het bedrag per instrument opgenomen. Ook moet in de toelichting het (totaal)bedrag worden onderverdeeld naar de categorieën van het eigen vermogen, zoals genoemd in artikel 2:273 lid 1 BW. In de bijlage van RJ 240 wordt een voorbeeld gegeven.</t>
    </r>
  </si>
  <si>
    <r>
      <rPr>
        <b/>
        <sz val="10"/>
        <color rgb="FF000000"/>
        <rFont val="Arial"/>
        <family val="2"/>
      </rPr>
      <t xml:space="preserve">NIEUW IN 2024: </t>
    </r>
    <r>
      <rPr>
        <sz val="10"/>
        <color indexed="8"/>
        <rFont val="Arial"/>
        <family val="2"/>
      </rPr>
      <t>In RJ 290.805 staan meerdere voorbeelden onder welke contractuele omstandigheden sprake is van eigen vermogen of van een financiële verplichting. Er is een nieuw voorbeeld toegevoegd en enkele voorbeelden zijn verduidelijkt.</t>
    </r>
  </si>
  <si>
    <r>
      <rPr>
        <b/>
        <sz val="10"/>
        <color rgb="FF000000"/>
        <rFont val="Arial"/>
        <family val="2"/>
      </rPr>
      <t>NIEUW IN 2024:</t>
    </r>
    <r>
      <rPr>
        <sz val="10"/>
        <color indexed="8"/>
        <rFont val="Arial"/>
        <family val="2"/>
      </rPr>
      <t xml:space="preserve"> In RJ 290.810 is verduidelijkt hoe je het begrip winstafhankelijke betalingen moet interpreteren en onder welke voorwaarden bij welke type instrumenten de keuze bestaat tussen classificatie als eigen of vreemd vermogen. In bijlage 6 van RJ 290 zijn voorbeelden opgenomen van financiële instrumenten al dan niet met winstafhankelijke betalingen.</t>
    </r>
  </si>
  <si>
    <t>Op 16 december 2022 is de Europese richtlijn duurzaamheids-rapportage, ook bekend als de Corporate Sustainability Reporting Directive (CSRD) gepubliceerd. De EU­lidstaten heb­ ben 18 maanden (tot uiterlijk 6 juli 2024) om deze EU-richtlijn te implementeren in de nationale wetgeving. In Nederland loopt dit via het Implementatiebesluit richtlijn duurzaamheidsrapportering. Het doel van de richtlijn is om de duurzaamheidsrapportages van ondernemingen te verbeteren om op die manier bij te dragen aan de transitie naar een duurzame maatschappij. Dit sluit aan op de ambitie die verwoord is in de Europese Green Deal om uiterlijk in 2050 het eerste klimaatneutrale continent te zijn.</t>
  </si>
  <si>
    <t xml:space="preserve">Naar verwachting zal de CSRD alleen gelden voor bv's, nv's, vof's en cv's. </t>
  </si>
  <si>
    <t>Voor de duurzaamheidsrapportage zijn verslaggevingsstandaarden ontwikkeld door de EFRAG. De European Sustainability Reporting Standards (ESRS) zijn inmiddels definitief. De ESRS bestaan uit 12 standaarden. ESRS 1 en 2 zijn algemene standaarden waar in alle gevallen over gerapporteerd moet worden. De andere 10 standaarden zien toe op onderwerpen met betrekking tot milieu en klimaat (Environment, sociale aspecten (Social) en bestuurlijke inrichting (Goverance).</t>
  </si>
  <si>
    <t>In 2024 worden de conceptstandaarden verwacht die van toepassing zijn voor beursgenoteerde mkb-ondernemingen. Niet-beursgenoteerde mkb-ondernemingen mogen deze standaarden vrijwillig toepassen. Dit lichtere regime voor verslaggeving is ook relevant voor mkb-ondernemingen die niet vallen onder de reikwijdte van de CSRD, maar wel onderdeel uitmaken van een waardeketen die moet rapporteren op basis van de CSRD. Als in de keten informatie van een mkb-onderneming nodig is, dan mag niet meer informatie opgevraagd worden dan een beursgenoteerde MKB-onderneming verplicht is om toe te lichten. Dit voorkomt een onevenredige administratieve last voor mkb-ondernemingen die informatieverzoeken ontvangen van hun afnemers en toeleveranciers die moeten rapporteren over duurzaamheid.</t>
  </si>
  <si>
    <t>EU-taxonomie</t>
  </si>
  <si>
    <t>Ondernemingen die vallen onder de reikwijdte van de CSRD moeten ook voldoen aan de EU-taxonomie. De EU-taxonomie is een lijst van de Europese Commissie. Het geeft aan welke economische activiteiten bijdragen aan het halen van het doel van de Europese Unie om in 2050 klimaatneutraal te zijn. Op basis van deze lijst geeft de onderneming aan welk percentage van de omzet, investeringen en operationele kosten
bijdragen aan duurzame activiteiten. Dit maakt onderdeel uit van de
duurzaamheidsrapportage.
 </t>
  </si>
  <si>
    <t>hierboven verwijderd: 'Voor de t/m definitief zijn'</t>
  </si>
  <si>
    <t>De wet geeft geen termijn voor ondertekening van de jaarrekening maar deze zal liggen na opmaak en voor het ter inzage leggen van de jaarrekening op het kantoor van de vennootschap.</t>
  </si>
  <si>
    <r>
      <rPr>
        <b/>
        <sz val="10"/>
        <color rgb="FF000000"/>
        <rFont val="Arial"/>
        <family val="2"/>
      </rPr>
      <t xml:space="preserve">GEWIJZIGD IN 2024: </t>
    </r>
    <r>
      <rPr>
        <sz val="10"/>
        <color indexed="8"/>
        <rFont val="Arial"/>
        <family val="2"/>
      </rPr>
      <t>Op basis van het geheel van de feiten en omstandigheden, inclusief de mate van aannemelijkheid van aanvullende medewerking van belanghebbenden, wordt beoordeeld of er sprake is van materiële onzekerheid over de continuïteit. In specifieke situaties is het dan mogelijk dat ondanks dat de medewerking van belanghebbenden nog niet geheel zeker is, maar wel in (hoge) mate waarschijnlijk, er toch geen materiële onzekerheid over de continuïteit resteert. Als sprake is van materiële onzekerheid, dan moet de situatie adequaat toegelicht worden.</t>
    </r>
  </si>
  <si>
    <t>In de enkelvoudige jaarrekening van de moedermaatschappij
wordt bij waardering van de deelneming tegen de vermogensmutatiemethode bij het bepalen van de boekwaarde van deze
deelneming de onroerende zaak als vastgoed voor eigen gebruik geclassificeerd. Daarmee blijft het geconsolideerde en enkelvoudige
vermogen gelijk.</t>
  </si>
  <si>
    <r>
      <t xml:space="preserve">Voor de bepaling van de verkrijgingsprijs in geval van fusies of overnames of via een ‘omgekeerde overname’ gelden specifieke regels. Zie ook tabblad Concernverhoudingen: onderdeel consolidatie bij ‘fusies en overnames’.
</t>
    </r>
    <r>
      <rPr>
        <b/>
        <u/>
        <sz val="10"/>
        <color indexed="12"/>
        <rFont val="Arial"/>
        <family val="2"/>
      </rPr>
      <t xml:space="preserve">GEWIJZIGD IN 2024: </t>
    </r>
    <r>
      <rPr>
        <u/>
        <sz val="10"/>
        <color indexed="12"/>
        <rFont val="Arial"/>
        <family val="2"/>
      </rPr>
      <t xml:space="preserve">In RJ 214.305 stond dat de reële waarde bepaald moest worden op het moment waarop overeenstemming over de ruilverhouding is bereikt. Dit is aangepast naar het moment van verkrijging waarmee deze bepaling in lijn is met RJ 216.203. </t>
    </r>
  </si>
  <si>
    <t>Ook vermeldt een rechtspersoon van de belangen volgens BW 2:379,1 eigen vermogen en resultaat volgens de laatste vastgestelde jaarrekening, tenzij de rechtspersoon:</t>
  </si>
  <si>
    <t>In RJ 400 worden 4 paragrafen onderscheiden, die elkaar niet uitsluiten. Dit betekent dat een of meerdere paragrafen op een rechtspersoon van toepassing kunnen zijn:</t>
  </si>
  <si>
    <t>a. de waarde van de activa volgens de balans met toelichting bedraagt, op de grondslag van de verkrijgings- en vervaardigingprijs, meer dan 25 mio</t>
  </si>
  <si>
    <t>b. de netto-omzet over het boekjaar bedraagt meer dan 50 mio</t>
  </si>
  <si>
    <t>De bedragen betreffen verhoogde groottecriteria die volgens het
‘Implementatiebesluit Richtlijn verhoging grensbedragen’ gaan
gelden vanaf boekjaren die aanvangen op of na 1 januari 2024.
Zie A2.</t>
  </si>
  <si>
    <t>c. het gemiddeld aantal werknemers over het boekjaar bedraagt minder dan 10</t>
  </si>
  <si>
    <t>Alle commerciële stichtingen en verenigingen moeten de netto omzet van de door hen in stand gehouden ondernemingen vermelden, ook als deze niet de grens van 7,5 mio omzet niet overschrijdt.</t>
  </si>
  <si>
    <t>Dit bedrag betreft verhoogde groottecriteria die volgens
het ‘Implementatiebesluit Richtlijn verhoging
grensbedragen’ gaan gelden vanaf boekjaren die
aanvangen op of na 1 januari 2024. Zie A2.</t>
  </si>
  <si>
    <r>
      <rPr>
        <b/>
        <sz val="10"/>
        <color rgb="FF000000"/>
        <rFont val="Arial"/>
        <family val="2"/>
      </rPr>
      <t>GEWIJZIGD IN 2024:</t>
    </r>
    <r>
      <rPr>
        <sz val="10"/>
        <color indexed="8"/>
        <rFont val="Arial"/>
        <family val="2"/>
      </rPr>
      <t xml:space="preserve"> De verhoging van de controlegrenzen, die volgens het Implementatiebesluit Richtlijn verhoging grensbedragen vanaf boekjaar 2023 ingaat, heeft ook gevolgen voor de reikwijdte van de CSRD. Hierdoor zullen minder ondernemingen classificeren als groot en moeten rapporteren over duurzaamheid.</t>
    </r>
  </si>
  <si>
    <t>De inhoudelijke kern van de bepalingen van RJ 400 is ongewijzigd gebleven sinds de aanpassingen in 2022.</t>
  </si>
  <si>
    <r>
      <rPr>
        <b/>
        <sz val="10"/>
        <color rgb="FF000000"/>
        <rFont val="Arial"/>
        <family val="2"/>
      </rPr>
      <t xml:space="preserve">GEWIJZIGD IN 2024: </t>
    </r>
    <r>
      <rPr>
        <sz val="10"/>
        <color rgb="FF000000"/>
        <rFont val="Arial"/>
        <family val="2"/>
      </rPr>
      <t>De verhoogde groottecriteria
gaan volgens het ‘Implementatiebesluit
Richtlijn verhoging grensbedragen’ gelden vanaf
boekjaren die aanvangen op of na 1 januari
2024. Het implementatiebesluit geeft ook aan dat
rechtspersonen over boekjaar 2023 al gebruik
kunnen maken van de verhoogde grensbedragen,
verplicht is dat echter niet. Ook zegt het
besluit dat daarbij de verhoogde grensbedragen
kunnen worden gehanteerd over de vergelijkende
cijfers van het voorgaande boekjaar’.</t>
    </r>
  </si>
  <si>
    <t>De bedragen betreffen verhoogde groottecriteria die volgens het ‘Implementatiebesluit Richtlijn verhoging grensbedragen’ gaan gelden vanaf boekjaren die aanvangen op of na 1 januari 2024. Zie A2.</t>
  </si>
  <si>
    <t>Over fusies en overnames moeten uitgebreide toelichtingen worden gegeven. Dit geldt ook voor fusies en overnames die na
balansdatum zijn gerealiseerd. Zie hoofdstuk D bij ‘waardering’.</t>
  </si>
  <si>
    <t>Een aantal gegevens die voorheen bij ‘Overige gegevens’ werden vermeld nu in de toelichting worden opgenomen: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</si>
</sst>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38" x14ac:knownFonts="1">
    <font>
      <sz val="10"/>
      <name val="Arial"/>
    </font>
    <font>
      <sz val="10"/>
      <name val="Arial"/>
      <family val="2"/>
    </font>
    <font>
      <sz val="8"/>
      <name val="Arial"/>
      <family val="2"/>
    </font>
    <font>
      <u/>
      <sz val="10"/>
      <color indexed="12"/>
      <name val="Arial"/>
      <family val="2"/>
    </font>
    <font>
      <sz val="10"/>
      <color indexed="8"/>
      <name val="Arial"/>
      <family val="2"/>
    </font>
    <font>
      <u/>
      <sz val="10"/>
      <color indexed="8"/>
      <name val="Arial"/>
      <family val="2"/>
    </font>
    <font>
      <sz val="10"/>
      <color indexed="8"/>
      <name val="Arial"/>
      <family val="2"/>
    </font>
    <font>
      <sz val="10"/>
      <color indexed="9"/>
      <name val="Arial"/>
      <family val="2"/>
    </font>
    <font>
      <sz val="12"/>
      <color indexed="9"/>
      <name val="Arial"/>
      <family val="2"/>
    </font>
    <font>
      <u/>
      <sz val="12"/>
      <color indexed="9"/>
      <name val="Arial"/>
      <family val="2"/>
    </font>
    <font>
      <u/>
      <sz val="12"/>
      <color indexed="9"/>
      <name val="Arial"/>
      <family val="2"/>
    </font>
    <font>
      <sz val="12"/>
      <color indexed="9"/>
      <name val="Arial"/>
      <family val="2"/>
    </font>
    <font>
      <b/>
      <u/>
      <sz val="10"/>
      <color indexed="8"/>
      <name val="Arial"/>
      <family val="2"/>
    </font>
    <font>
      <b/>
      <sz val="10"/>
      <color indexed="8"/>
      <name val="Arial"/>
      <family val="2"/>
    </font>
    <font>
      <b/>
      <u/>
      <sz val="10"/>
      <name val="Arial"/>
      <family val="2"/>
    </font>
    <font>
      <b/>
      <sz val="10"/>
      <name val="Arial"/>
      <family val="2"/>
    </font>
    <font>
      <sz val="18"/>
      <color indexed="53"/>
      <name val="Arial"/>
      <family val="2"/>
    </font>
    <font>
      <sz val="12"/>
      <color indexed="53"/>
      <name val="Arial"/>
      <family val="2"/>
    </font>
    <font>
      <sz val="12"/>
      <color indexed="8"/>
      <name val="Arial"/>
      <family val="2"/>
    </font>
    <font>
      <b/>
      <sz val="18"/>
      <color indexed="53"/>
      <name val="Arial"/>
      <family val="2"/>
    </font>
    <font>
      <b/>
      <sz val="12"/>
      <color indexed="53"/>
      <name val="Arial"/>
      <family val="2"/>
    </font>
    <font>
      <b/>
      <sz val="12"/>
      <color indexed="9"/>
      <name val="Arial"/>
      <family val="2"/>
    </font>
    <font>
      <sz val="12"/>
      <name val="Times New Roman"/>
      <family val="1"/>
    </font>
    <font>
      <i/>
      <sz val="10"/>
      <color indexed="8"/>
      <name val="Arial"/>
      <family val="2"/>
    </font>
    <font>
      <b/>
      <i/>
      <sz val="10"/>
      <color indexed="8"/>
      <name val="Arial"/>
      <family val="2"/>
    </font>
    <font>
      <sz val="8"/>
      <name val="Times New Roman"/>
      <family val="1"/>
    </font>
    <font>
      <u/>
      <sz val="10"/>
      <name val="Arial"/>
      <family val="2"/>
    </font>
    <font>
      <i/>
      <sz val="10"/>
      <name val="Arial"/>
      <family val="2"/>
    </font>
    <font>
      <b/>
      <i/>
      <u/>
      <sz val="10"/>
      <name val="Arial"/>
      <family val="2"/>
    </font>
    <font>
      <sz val="10"/>
      <color indexed="60"/>
      <name val="Arial"/>
      <family val="2"/>
    </font>
    <font>
      <b/>
      <i/>
      <u/>
      <sz val="10"/>
      <color indexed="8"/>
      <name val="Arial"/>
      <family val="2"/>
    </font>
    <font>
      <sz val="12"/>
      <color rgb="FF000000"/>
      <name val="Times New Roman"/>
      <family val="1"/>
    </font>
    <font>
      <b/>
      <sz val="10"/>
      <color rgb="FF000000"/>
      <name val="Arial"/>
      <family val="2"/>
    </font>
    <font>
      <u/>
      <sz val="10"/>
      <color theme="1"/>
      <name val="Arial"/>
      <family val="2"/>
    </font>
    <font>
      <sz val="10"/>
      <color rgb="FF000000"/>
      <name val="Arial"/>
      <family val="2"/>
    </font>
    <font>
      <b/>
      <u/>
      <sz val="10"/>
      <color indexed="12"/>
      <name val="Arial"/>
      <family val="2"/>
    </font>
    <font>
      <sz val="18"/>
      <color rgb="FF951B81"/>
      <name val="Arial"/>
      <family val="2"/>
    </font>
    <font>
      <sz val="12"/>
      <color rgb="FF951B81"/>
      <name val="Arial"/>
      <family val="2"/>
    </font>
  </fonts>
  <fills count="5">
    <fill>
      <patternFill patternType="none"/>
    </fill>
    <fill>
      <patternFill patternType="gray125"/>
    </fill>
    <fill>
      <patternFill patternType="solid">
        <fgColor theme="0"/>
        <bgColor indexed="64"/>
      </patternFill>
    </fill>
    <fill>
      <patternFill patternType="solid">
        <fgColor rgb="FF951B81"/>
        <bgColor indexed="64"/>
      </patternFill>
    </fill>
    <fill>
      <patternFill patternType="solid">
        <fgColor rgb="FFF8D8F3"/>
        <bgColor indexed="64"/>
      </patternFill>
    </fill>
  </fills>
  <borders count="24">
    <border>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thin">
        <color indexed="64"/>
      </left>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3" fillId="0" borderId="0" applyNumberFormat="0" applyFill="0" applyBorder="0" applyAlignment="0" applyProtection="0">
      <alignment vertical="top"/>
      <protection locked="0"/>
    </xf>
  </cellStyleXfs>
  <cellXfs count="257">
    <xf numFmtId="0" fontId="0" fillId="0" borderId="0" xfId="0"/>
    <xf numFmtId="0" fontId="4" fillId="0" borderId="0" xfId="0" applyFont="1" applyAlignment="1">
      <alignment vertical="top"/>
    </xf>
    <xf numFmtId="0" fontId="4" fillId="0" borderId="1" xfId="0" applyFont="1" applyBorder="1" applyAlignment="1">
      <alignment vertical="top"/>
    </xf>
    <xf numFmtId="0" fontId="5" fillId="0" borderId="0" xfId="1" applyFont="1" applyAlignment="1" applyProtection="1">
      <alignment vertical="top" wrapText="1"/>
    </xf>
    <xf numFmtId="0" fontId="4" fillId="0" borderId="2" xfId="0" applyFont="1" applyBorder="1" applyAlignment="1">
      <alignment vertical="top"/>
    </xf>
    <xf numFmtId="0" fontId="6" fillId="0" borderId="0" xfId="0" applyFont="1" applyAlignment="1">
      <alignment vertical="top" wrapText="1"/>
    </xf>
    <xf numFmtId="0" fontId="6" fillId="0" borderId="0" xfId="0" applyFont="1" applyAlignment="1">
      <alignment vertical="top"/>
    </xf>
    <xf numFmtId="0" fontId="6" fillId="0" borderId="0" xfId="0" applyFont="1"/>
    <xf numFmtId="0" fontId="6" fillId="0" borderId="3" xfId="0" applyFont="1" applyBorder="1" applyAlignment="1">
      <alignment vertical="top" wrapText="1"/>
    </xf>
    <xf numFmtId="0" fontId="6" fillId="0" borderId="3" xfId="0" applyFont="1" applyBorder="1" applyAlignment="1">
      <alignment vertical="top"/>
    </xf>
    <xf numFmtId="0" fontId="6" fillId="0" borderId="1" xfId="0" applyFont="1" applyBorder="1" applyAlignment="1">
      <alignment vertical="top" wrapText="1"/>
    </xf>
    <xf numFmtId="0" fontId="6" fillId="0" borderId="1" xfId="0" applyFont="1" applyBorder="1" applyAlignment="1">
      <alignment vertical="top"/>
    </xf>
    <xf numFmtId="0" fontId="6" fillId="0" borderId="2" xfId="0" applyFont="1" applyBorder="1" applyAlignment="1">
      <alignment vertical="top" wrapText="1"/>
    </xf>
    <xf numFmtId="0" fontId="6" fillId="0" borderId="2" xfId="0" applyFont="1" applyBorder="1" applyAlignment="1">
      <alignment vertical="top"/>
    </xf>
    <xf numFmtId="0" fontId="6" fillId="0" borderId="4" xfId="0" applyFont="1" applyBorder="1" applyAlignment="1">
      <alignment vertical="top"/>
    </xf>
    <xf numFmtId="0" fontId="6" fillId="0" borderId="1" xfId="0" quotePrefix="1" applyFont="1" applyBorder="1" applyAlignment="1">
      <alignment vertical="top" wrapText="1"/>
    </xf>
    <xf numFmtId="0" fontId="4" fillId="0" borderId="1" xfId="0" applyFont="1" applyBorder="1" applyAlignment="1">
      <alignment vertical="top" wrapText="1"/>
    </xf>
    <xf numFmtId="0" fontId="4" fillId="0" borderId="2" xfId="0" applyFont="1" applyBorder="1" applyAlignment="1">
      <alignment vertical="top" wrapText="1"/>
    </xf>
    <xf numFmtId="0" fontId="4" fillId="0" borderId="0" xfId="0" applyFont="1" applyAlignment="1">
      <alignment vertical="top" wrapText="1"/>
    </xf>
    <xf numFmtId="0" fontId="1" fillId="0" borderId="0" xfId="0" applyFont="1" applyAlignment="1">
      <alignment vertical="top"/>
    </xf>
    <xf numFmtId="0" fontId="1" fillId="0" borderId="4" xfId="0" applyFont="1" applyBorder="1" applyAlignment="1">
      <alignment vertical="top" wrapText="1"/>
    </xf>
    <xf numFmtId="0" fontId="1" fillId="0" borderId="4" xfId="0" applyFont="1" applyBorder="1" applyAlignment="1">
      <alignment vertical="top"/>
    </xf>
    <xf numFmtId="0" fontId="1" fillId="0" borderId="1" xfId="0" applyFont="1" applyBorder="1" applyAlignment="1">
      <alignment vertical="top" wrapText="1"/>
    </xf>
    <xf numFmtId="0" fontId="1" fillId="0" borderId="1" xfId="0" applyFont="1" applyBorder="1" applyAlignment="1">
      <alignment vertical="top"/>
    </xf>
    <xf numFmtId="0" fontId="1" fillId="0" borderId="1" xfId="0" quotePrefix="1" applyFont="1" applyBorder="1" applyAlignment="1">
      <alignment vertical="top" wrapText="1"/>
    </xf>
    <xf numFmtId="0" fontId="1" fillId="0" borderId="2" xfId="0" applyFont="1" applyBorder="1" applyAlignment="1">
      <alignment vertical="top" wrapText="1"/>
    </xf>
    <xf numFmtId="0" fontId="1" fillId="0" borderId="2" xfId="0" applyFont="1" applyBorder="1" applyAlignment="1">
      <alignment vertical="top"/>
    </xf>
    <xf numFmtId="0" fontId="6" fillId="0" borderId="4" xfId="0" applyFont="1" applyBorder="1" applyAlignment="1">
      <alignment vertical="top" wrapText="1"/>
    </xf>
    <xf numFmtId="0" fontId="1" fillId="0" borderId="0" xfId="0" applyFont="1" applyAlignment="1">
      <alignment vertical="top" wrapText="1"/>
    </xf>
    <xf numFmtId="0" fontId="6" fillId="0" borderId="1" xfId="0" applyFont="1" applyBorder="1" applyAlignment="1">
      <alignment vertical="top" wrapText="1" shrinkToFit="1"/>
    </xf>
    <xf numFmtId="164" fontId="6" fillId="0" borderId="1" xfId="0" quotePrefix="1" applyNumberFormat="1"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12" fillId="0" borderId="3" xfId="1" applyFont="1" applyBorder="1" applyAlignment="1" applyProtection="1">
      <alignment vertical="top" wrapText="1"/>
    </xf>
    <xf numFmtId="0" fontId="12" fillId="0" borderId="1" xfId="1" applyFont="1" applyBorder="1" applyAlignment="1" applyProtection="1">
      <alignment vertical="top" wrapText="1"/>
    </xf>
    <xf numFmtId="0" fontId="13" fillId="0" borderId="1" xfId="0" applyFont="1" applyBorder="1" applyAlignment="1">
      <alignment vertical="top" wrapText="1"/>
    </xf>
    <xf numFmtId="0" fontId="13" fillId="0" borderId="1" xfId="0" applyFont="1" applyBorder="1" applyAlignment="1">
      <alignment vertical="top"/>
    </xf>
    <xf numFmtId="0" fontId="14" fillId="0" borderId="1" xfId="1" applyFont="1" applyBorder="1" applyAlignment="1" applyProtection="1">
      <alignment vertical="top" wrapText="1"/>
    </xf>
    <xf numFmtId="0" fontId="15" fillId="0" borderId="1" xfId="0" applyFont="1" applyBorder="1" applyAlignment="1">
      <alignment vertical="top"/>
    </xf>
    <xf numFmtId="0" fontId="15" fillId="0" borderId="0" xfId="0" applyFont="1"/>
    <xf numFmtId="0" fontId="12" fillId="0" borderId="4" xfId="1" applyFont="1" applyBorder="1" applyAlignment="1" applyProtection="1">
      <alignment vertical="top" wrapText="1"/>
    </xf>
    <xf numFmtId="0" fontId="13" fillId="0" borderId="4" xfId="0" applyFont="1" applyBorder="1" applyAlignment="1">
      <alignment vertical="top"/>
    </xf>
    <xf numFmtId="0" fontId="14" fillId="0" borderId="4" xfId="1" applyFont="1" applyBorder="1" applyAlignment="1" applyProtection="1">
      <alignment vertical="top" wrapText="1"/>
    </xf>
    <xf numFmtId="0" fontId="13" fillId="0" borderId="4" xfId="0" applyFont="1" applyBorder="1" applyAlignment="1">
      <alignment vertical="top" wrapText="1"/>
    </xf>
    <xf numFmtId="0" fontId="16" fillId="0" borderId="0" xfId="0" applyFont="1" applyAlignment="1">
      <alignment vertical="top"/>
    </xf>
    <xf numFmtId="0" fontId="17" fillId="0" borderId="0" xfId="0" applyFont="1" applyAlignment="1">
      <alignment vertical="top"/>
    </xf>
    <xf numFmtId="0" fontId="13" fillId="0" borderId="0" xfId="0" applyFont="1" applyAlignment="1">
      <alignment vertical="top"/>
    </xf>
    <xf numFmtId="0" fontId="18" fillId="0" borderId="0" xfId="0" applyFont="1" applyAlignment="1">
      <alignment vertical="top"/>
    </xf>
    <xf numFmtId="0" fontId="15" fillId="0" borderId="0" xfId="0" applyFont="1" applyAlignment="1">
      <alignment vertical="top"/>
    </xf>
    <xf numFmtId="0" fontId="4" fillId="0" borderId="3" xfId="0" applyFont="1" applyBorder="1" applyAlignment="1" applyProtection="1">
      <alignment vertical="top" wrapText="1"/>
      <protection locked="0"/>
    </xf>
    <xf numFmtId="0" fontId="4" fillId="0" borderId="1" xfId="0" applyFont="1" applyBorder="1" applyAlignment="1" applyProtection="1">
      <alignment vertical="top" wrapText="1"/>
      <protection locked="0"/>
    </xf>
    <xf numFmtId="0" fontId="7" fillId="0" borderId="0" xfId="0" applyFont="1" applyAlignment="1">
      <alignment vertical="top"/>
    </xf>
    <xf numFmtId="0" fontId="12" fillId="0" borderId="1" xfId="1" applyFont="1" applyBorder="1" applyProtection="1">
      <alignment vertical="top"/>
    </xf>
    <xf numFmtId="0" fontId="12" fillId="0" borderId="4" xfId="1" applyFont="1" applyBorder="1" applyProtection="1">
      <alignment vertical="top"/>
    </xf>
    <xf numFmtId="0" fontId="3" fillId="0" borderId="0" xfId="1" applyProtection="1">
      <alignment vertical="top"/>
    </xf>
    <xf numFmtId="0" fontId="6" fillId="0" borderId="1" xfId="0" applyFont="1" applyBorder="1" applyAlignment="1" applyProtection="1">
      <alignment vertical="top"/>
      <protection locked="0"/>
    </xf>
    <xf numFmtId="0" fontId="16" fillId="0" borderId="0" xfId="0" applyFont="1" applyAlignment="1" applyProtection="1">
      <alignment vertical="top"/>
      <protection locked="0"/>
    </xf>
    <xf numFmtId="0" fontId="17" fillId="0" borderId="0" xfId="0" applyFont="1" applyAlignment="1" applyProtection="1">
      <alignment vertical="top"/>
      <protection locked="0"/>
    </xf>
    <xf numFmtId="0" fontId="6" fillId="0" borderId="0" xfId="0" applyFont="1" applyAlignment="1" applyProtection="1">
      <alignment vertical="top"/>
      <protection locked="0"/>
    </xf>
    <xf numFmtId="0" fontId="4" fillId="0" borderId="0" xfId="0" applyFont="1" applyAlignment="1" applyProtection="1">
      <alignment vertical="top"/>
      <protection locked="0"/>
    </xf>
    <xf numFmtId="0" fontId="13" fillId="0" borderId="0" xfId="0" applyFont="1" applyAlignment="1" applyProtection="1">
      <alignment vertical="top"/>
      <protection locked="0"/>
    </xf>
    <xf numFmtId="0" fontId="1" fillId="0" borderId="0" xfId="0" applyFont="1" applyAlignment="1" applyProtection="1">
      <alignment vertical="top"/>
      <protection locked="0"/>
    </xf>
    <xf numFmtId="0" fontId="15" fillId="0" borderId="0" xfId="0" applyFont="1" applyAlignment="1" applyProtection="1">
      <alignment vertical="top"/>
      <protection locked="0"/>
    </xf>
    <xf numFmtId="0" fontId="6" fillId="0" borderId="0" xfId="0" applyFont="1" applyProtection="1">
      <protection locked="0"/>
    </xf>
    <xf numFmtId="0" fontId="15" fillId="0" borderId="0" xfId="0" applyFont="1" applyProtection="1">
      <protection locked="0"/>
    </xf>
    <xf numFmtId="0" fontId="7" fillId="0" borderId="0" xfId="0" applyFont="1" applyAlignment="1" applyProtection="1">
      <alignment vertical="top"/>
      <protection locked="0"/>
    </xf>
    <xf numFmtId="0" fontId="4" fillId="0" borderId="1" xfId="0" applyFont="1" applyBorder="1" applyAlignment="1" applyProtection="1">
      <alignment vertical="top" wrapText="1"/>
      <protection hidden="1"/>
    </xf>
    <xf numFmtId="0" fontId="16" fillId="0" borderId="0" xfId="0" applyFont="1" applyAlignment="1" applyProtection="1">
      <alignment vertical="top"/>
      <protection hidden="1"/>
    </xf>
    <xf numFmtId="0" fontId="17" fillId="0" borderId="0" xfId="0" applyFont="1" applyAlignment="1" applyProtection="1">
      <alignment vertical="top"/>
      <protection hidden="1"/>
    </xf>
    <xf numFmtId="0" fontId="4" fillId="0" borderId="0" xfId="0" applyFont="1" applyAlignment="1" applyProtection="1">
      <alignment vertical="top" wrapText="1"/>
      <protection hidden="1"/>
    </xf>
    <xf numFmtId="0" fontId="4" fillId="0" borderId="0" xfId="0" applyFont="1" applyAlignment="1" applyProtection="1">
      <alignment vertical="top"/>
      <protection hidden="1"/>
    </xf>
    <xf numFmtId="0" fontId="4" fillId="0" borderId="6" xfId="0" applyFont="1" applyBorder="1" applyAlignment="1" applyProtection="1">
      <alignment vertical="top"/>
      <protection hidden="1"/>
    </xf>
    <xf numFmtId="0" fontId="4" fillId="0" borderId="8" xfId="0" applyFont="1" applyBorder="1" applyAlignment="1" applyProtection="1">
      <alignment vertical="top"/>
      <protection hidden="1"/>
    </xf>
    <xf numFmtId="0" fontId="4" fillId="0" borderId="7" xfId="0" applyFont="1" applyBorder="1" applyAlignment="1" applyProtection="1">
      <alignment vertical="top"/>
      <protection hidden="1"/>
    </xf>
    <xf numFmtId="0" fontId="4" fillId="0" borderId="7" xfId="0" applyFont="1" applyBorder="1" applyAlignment="1" applyProtection="1">
      <alignment vertical="top" wrapText="1"/>
      <protection hidden="1"/>
    </xf>
    <xf numFmtId="0" fontId="19" fillId="0" borderId="0" xfId="0" applyFont="1" applyAlignment="1" applyProtection="1">
      <alignment vertical="top"/>
      <protection locked="0"/>
    </xf>
    <xf numFmtId="0" fontId="20" fillId="0" borderId="0" xfId="0" applyFont="1" applyAlignment="1" applyProtection="1">
      <alignment vertical="top"/>
      <protection locked="0"/>
    </xf>
    <xf numFmtId="0" fontId="13" fillId="0" borderId="0" xfId="0" applyFont="1" applyProtection="1">
      <protection locked="0"/>
    </xf>
    <xf numFmtId="0" fontId="6" fillId="0" borderId="9" xfId="0" applyFont="1" applyBorder="1" applyAlignment="1">
      <alignment vertical="top"/>
    </xf>
    <xf numFmtId="0" fontId="4" fillId="0" borderId="1" xfId="0" quotePrefix="1" applyFont="1" applyBorder="1" applyAlignment="1">
      <alignment vertical="top" wrapText="1"/>
    </xf>
    <xf numFmtId="0" fontId="6" fillId="0" borderId="2" xfId="0" quotePrefix="1" applyFont="1" applyBorder="1" applyAlignment="1">
      <alignment vertical="top" wrapText="1"/>
    </xf>
    <xf numFmtId="0" fontId="4" fillId="0" borderId="1" xfId="0" applyFont="1" applyBorder="1" applyAlignment="1" applyProtection="1">
      <alignment vertical="top"/>
      <protection locked="0"/>
    </xf>
    <xf numFmtId="0" fontId="1" fillId="0" borderId="1" xfId="0" applyFont="1" applyBorder="1" applyAlignment="1">
      <alignment horizontal="left" vertical="top"/>
    </xf>
    <xf numFmtId="0" fontId="16" fillId="0" borderId="0" xfId="0" applyFont="1" applyAlignment="1">
      <alignment horizontal="left" vertical="top"/>
    </xf>
    <xf numFmtId="0" fontId="17" fillId="0" borderId="0" xfId="0" applyFont="1" applyAlignment="1">
      <alignment horizontal="left" vertical="top"/>
    </xf>
    <xf numFmtId="0" fontId="23" fillId="0" borderId="1" xfId="0" applyFont="1" applyBorder="1" applyAlignment="1">
      <alignment vertical="top" wrapText="1"/>
    </xf>
    <xf numFmtId="0" fontId="1" fillId="0" borderId="0" xfId="0" applyFont="1"/>
    <xf numFmtId="0" fontId="14" fillId="0" borderId="1" xfId="0" applyFont="1" applyBorder="1" applyAlignment="1">
      <alignment vertical="top" wrapText="1"/>
    </xf>
    <xf numFmtId="0" fontId="1" fillId="0" borderId="0" xfId="0" quotePrefix="1" applyFont="1"/>
    <xf numFmtId="0" fontId="1" fillId="0" borderId="0" xfId="0" applyFont="1" applyAlignment="1">
      <alignment vertical="center"/>
    </xf>
    <xf numFmtId="0" fontId="6" fillId="0" borderId="4" xfId="0" applyFont="1" applyBorder="1" applyAlignment="1" applyProtection="1">
      <alignment vertical="top"/>
      <protection locked="0"/>
    </xf>
    <xf numFmtId="0" fontId="6" fillId="0" borderId="2" xfId="0" applyFont="1" applyBorder="1" applyAlignment="1" applyProtection="1">
      <alignment vertical="top"/>
      <protection locked="0"/>
    </xf>
    <xf numFmtId="0" fontId="4" fillId="0" borderId="1" xfId="0" applyFont="1" applyBorder="1" applyAlignment="1">
      <alignment horizontal="left" vertical="top"/>
    </xf>
    <xf numFmtId="0" fontId="4" fillId="0" borderId="9" xfId="0" applyFont="1" applyBorder="1" applyAlignment="1">
      <alignment vertical="top"/>
    </xf>
    <xf numFmtId="0" fontId="4" fillId="0" borderId="0" xfId="0" quotePrefix="1" applyFont="1" applyAlignment="1">
      <alignment vertical="top"/>
    </xf>
    <xf numFmtId="0" fontId="13" fillId="0" borderId="0" xfId="0" applyFont="1" applyAlignment="1" applyProtection="1">
      <alignment vertical="top" wrapText="1"/>
      <protection locked="0"/>
    </xf>
    <xf numFmtId="0" fontId="1" fillId="0" borderId="9" xfId="0" applyFont="1" applyBorder="1" applyAlignment="1">
      <alignment vertical="top" wrapText="1"/>
    </xf>
    <xf numFmtId="0" fontId="1" fillId="0" borderId="9" xfId="0" applyFont="1" applyBorder="1" applyAlignment="1">
      <alignment vertical="top"/>
    </xf>
    <xf numFmtId="0" fontId="4" fillId="0" borderId="9" xfId="0" applyFont="1" applyBorder="1" applyAlignment="1">
      <alignment vertical="top" wrapText="1"/>
    </xf>
    <xf numFmtId="0" fontId="4" fillId="0" borderId="4" xfId="0" quotePrefix="1" applyFont="1" applyBorder="1" applyAlignment="1">
      <alignment vertical="top" wrapText="1"/>
    </xf>
    <xf numFmtId="0" fontId="13" fillId="0" borderId="0" xfId="0" applyFont="1" applyAlignment="1" applyProtection="1">
      <alignment wrapText="1"/>
      <protection locked="0"/>
    </xf>
    <xf numFmtId="0" fontId="15" fillId="0" borderId="0" xfId="0" applyFont="1" applyAlignment="1" applyProtection="1">
      <alignment vertical="top" wrapText="1"/>
      <protection locked="0"/>
    </xf>
    <xf numFmtId="0" fontId="24" fillId="0" borderId="1" xfId="1" applyFont="1" applyBorder="1" applyAlignment="1" applyProtection="1">
      <alignment vertical="top" wrapText="1"/>
    </xf>
    <xf numFmtId="0" fontId="12" fillId="0" borderId="9" xfId="0" applyFont="1" applyBorder="1" applyAlignment="1">
      <alignment vertical="top" wrapText="1"/>
    </xf>
    <xf numFmtId="0" fontId="4" fillId="0" borderId="4" xfId="1" applyFont="1" applyBorder="1" applyAlignment="1" applyProtection="1">
      <alignment vertical="top" wrapText="1"/>
    </xf>
    <xf numFmtId="0" fontId="4" fillId="0" borderId="2" xfId="0" quotePrefix="1" applyFont="1" applyBorder="1" applyAlignment="1">
      <alignment vertical="top" wrapText="1"/>
    </xf>
    <xf numFmtId="0" fontId="4" fillId="0" borderId="2" xfId="0" applyFont="1" applyBorder="1" applyAlignment="1" applyProtection="1">
      <alignment vertical="top"/>
      <protection locked="0"/>
    </xf>
    <xf numFmtId="0" fontId="31" fillId="0" borderId="0" xfId="0" applyFont="1"/>
    <xf numFmtId="0" fontId="32" fillId="0" borderId="0" xfId="0" applyFont="1"/>
    <xf numFmtId="0" fontId="4" fillId="0" borderId="3" xfId="0" applyFont="1" applyBorder="1" applyAlignment="1">
      <alignment vertical="top" wrapText="1"/>
    </xf>
    <xf numFmtId="0" fontId="13" fillId="2" borderId="0" xfId="0" applyFont="1" applyFill="1" applyAlignment="1" applyProtection="1">
      <alignment vertical="top"/>
      <protection locked="0"/>
    </xf>
    <xf numFmtId="0" fontId="6" fillId="0" borderId="9" xfId="0" applyFont="1" applyBorder="1" applyAlignment="1" applyProtection="1">
      <alignment vertical="top"/>
      <protection locked="0"/>
    </xf>
    <xf numFmtId="0" fontId="4" fillId="0" borderId="10" xfId="0" applyFont="1" applyBorder="1" applyAlignment="1">
      <alignment vertical="top" wrapText="1"/>
    </xf>
    <xf numFmtId="0" fontId="23" fillId="0" borderId="1" xfId="1" applyFont="1" applyBorder="1" applyAlignment="1" applyProtection="1">
      <alignment vertical="top" wrapText="1"/>
    </xf>
    <xf numFmtId="0" fontId="12" fillId="0" borderId="1" xfId="0" applyFont="1" applyBorder="1" applyAlignment="1">
      <alignment vertical="top" wrapText="1"/>
    </xf>
    <xf numFmtId="0" fontId="26" fillId="0" borderId="3" xfId="1" applyFont="1" applyBorder="1" applyAlignment="1" applyProtection="1">
      <alignment vertical="top" wrapText="1"/>
    </xf>
    <xf numFmtId="0" fontId="13" fillId="0" borderId="0" xfId="1" applyFont="1">
      <alignment vertical="top"/>
      <protection locked="0"/>
    </xf>
    <xf numFmtId="0" fontId="4" fillId="0" borderId="12" xfId="0" applyFont="1" applyBorder="1" applyAlignment="1" applyProtection="1">
      <alignment vertical="top"/>
      <protection locked="0"/>
    </xf>
    <xf numFmtId="0" fontId="0" fillId="0" borderId="0" xfId="0" applyAlignment="1">
      <alignment wrapText="1"/>
    </xf>
    <xf numFmtId="0" fontId="4" fillId="0" borderId="1" xfId="1" applyFont="1" applyBorder="1" applyAlignment="1" applyProtection="1">
      <alignment vertical="top" wrapText="1"/>
    </xf>
    <xf numFmtId="0" fontId="24" fillId="0" borderId="1" xfId="0" applyFont="1" applyBorder="1" applyAlignment="1">
      <alignment vertical="top" wrapText="1"/>
    </xf>
    <xf numFmtId="0" fontId="24" fillId="0" borderId="1" xfId="0" quotePrefix="1" applyFont="1" applyBorder="1" applyAlignment="1">
      <alignment vertical="top" wrapText="1"/>
    </xf>
    <xf numFmtId="0" fontId="6" fillId="0" borderId="9" xfId="0" applyFont="1" applyBorder="1" applyAlignment="1">
      <alignment vertical="top" wrapText="1"/>
    </xf>
    <xf numFmtId="0" fontId="24" fillId="0" borderId="9" xfId="0" applyFont="1" applyBorder="1" applyAlignment="1">
      <alignment vertical="top" wrapText="1"/>
    </xf>
    <xf numFmtId="0" fontId="4" fillId="0" borderId="9" xfId="0" quotePrefix="1" applyFont="1" applyBorder="1" applyAlignment="1">
      <alignment vertical="top" wrapText="1"/>
    </xf>
    <xf numFmtId="0" fontId="23" fillId="0" borderId="1" xfId="0" quotePrefix="1" applyFont="1" applyBorder="1" applyAlignment="1">
      <alignment vertical="top" wrapText="1"/>
    </xf>
    <xf numFmtId="0" fontId="4" fillId="0" borderId="1" xfId="0" applyFont="1" applyBorder="1"/>
    <xf numFmtId="0" fontId="4" fillId="0" borderId="1" xfId="0" applyFont="1" applyBorder="1" applyAlignment="1">
      <alignment wrapText="1"/>
    </xf>
    <xf numFmtId="0" fontId="6" fillId="0" borderId="1" xfId="0" applyFont="1" applyBorder="1" applyAlignment="1">
      <alignment wrapText="1"/>
    </xf>
    <xf numFmtId="0" fontId="33" fillId="0" borderId="1" xfId="1" applyFont="1" applyBorder="1" applyAlignment="1" applyProtection="1">
      <alignment vertical="top" wrapText="1"/>
    </xf>
    <xf numFmtId="0" fontId="4" fillId="0" borderId="0" xfId="0" applyFont="1" applyAlignment="1">
      <alignment horizontal="left" vertical="top"/>
    </xf>
    <xf numFmtId="0" fontId="4" fillId="0" borderId="3" xfId="0" applyFont="1" applyBorder="1" applyAlignment="1">
      <alignment vertical="top"/>
    </xf>
    <xf numFmtId="0" fontId="4" fillId="0" borderId="1" xfId="0" applyFont="1" applyBorder="1" applyAlignment="1">
      <alignment horizontal="center" vertical="top"/>
    </xf>
    <xf numFmtId="3" fontId="4" fillId="0" borderId="1" xfId="0" applyNumberFormat="1" applyFont="1" applyBorder="1" applyAlignment="1">
      <alignment vertical="top"/>
    </xf>
    <xf numFmtId="0" fontId="27" fillId="0" borderId="1" xfId="0" applyFont="1" applyBorder="1" applyAlignment="1">
      <alignment vertical="top" wrapText="1"/>
    </xf>
    <xf numFmtId="0" fontId="28" fillId="0" borderId="1" xfId="0" applyFont="1" applyBorder="1" applyAlignment="1">
      <alignment vertical="top" wrapText="1"/>
    </xf>
    <xf numFmtId="0" fontId="12" fillId="0" borderId="1" xfId="0" quotePrefix="1" applyFont="1" applyBorder="1" applyAlignment="1">
      <alignment vertical="top" wrapText="1"/>
    </xf>
    <xf numFmtId="0" fontId="30" fillId="0" borderId="1" xfId="1" applyFont="1" applyBorder="1" applyAlignment="1" applyProtection="1">
      <alignment vertical="top" wrapText="1"/>
    </xf>
    <xf numFmtId="0" fontId="13" fillId="0" borderId="4" xfId="1" applyFont="1" applyBorder="1" applyAlignment="1" applyProtection="1">
      <alignment vertical="top" wrapText="1"/>
    </xf>
    <xf numFmtId="0" fontId="30" fillId="0" borderId="1" xfId="0" applyFont="1" applyBorder="1" applyAlignment="1">
      <alignment vertical="top" wrapText="1"/>
    </xf>
    <xf numFmtId="0" fontId="1" fillId="0" borderId="1" xfId="0" applyFont="1" applyBorder="1" applyAlignment="1" applyProtection="1">
      <alignment vertical="top"/>
      <protection locked="0"/>
    </xf>
    <xf numFmtId="0" fontId="22" fillId="0" borderId="0" xfId="0" applyFont="1" applyProtection="1">
      <protection locked="0"/>
    </xf>
    <xf numFmtId="0" fontId="25" fillId="0" borderId="0" xfId="0" applyFont="1" applyAlignment="1" applyProtection="1">
      <alignment vertical="center"/>
      <protection locked="0"/>
    </xf>
    <xf numFmtId="0" fontId="14" fillId="0" borderId="1" xfId="1" applyFont="1" applyBorder="1" applyProtection="1">
      <alignment vertical="top"/>
    </xf>
    <xf numFmtId="0" fontId="13" fillId="0" borderId="1" xfId="0" applyFont="1" applyBorder="1" applyAlignment="1" applyProtection="1">
      <alignment vertical="top"/>
      <protection locked="0"/>
    </xf>
    <xf numFmtId="0" fontId="5" fillId="0" borderId="0" xfId="1" applyFont="1" applyFill="1" applyAlignment="1" applyProtection="1">
      <alignment vertical="top" wrapText="1"/>
    </xf>
    <xf numFmtId="0" fontId="3" fillId="0" borderId="1" xfId="1" applyBorder="1" applyAlignment="1" applyProtection="1">
      <alignment vertical="top" wrapText="1"/>
    </xf>
    <xf numFmtId="0" fontId="26" fillId="0" borderId="3" xfId="1" applyFont="1" applyFill="1" applyBorder="1" applyAlignment="1" applyProtection="1">
      <alignment vertical="top" wrapText="1"/>
    </xf>
    <xf numFmtId="0" fontId="32" fillId="0" borderId="1" xfId="0" applyFont="1" applyBorder="1" applyAlignment="1">
      <alignment vertical="top" wrapText="1"/>
    </xf>
    <xf numFmtId="0" fontId="1" fillId="0" borderId="1" xfId="1" applyFont="1" applyBorder="1" applyAlignment="1" applyProtection="1">
      <alignment vertical="top" wrapText="1"/>
    </xf>
    <xf numFmtId="0" fontId="3" fillId="0" borderId="1" xfId="1" applyFill="1" applyBorder="1" applyAlignment="1" applyProtection="1">
      <alignment vertical="top" wrapText="1"/>
    </xf>
    <xf numFmtId="0" fontId="3" fillId="0" borderId="3" xfId="1" applyFill="1" applyBorder="1" applyAlignment="1" applyProtection="1">
      <alignment vertical="top" wrapText="1"/>
    </xf>
    <xf numFmtId="0" fontId="4" fillId="0" borderId="0" xfId="0" applyFont="1" applyAlignment="1" applyProtection="1">
      <alignment vertical="top" wrapText="1"/>
      <protection locked="0"/>
    </xf>
    <xf numFmtId="0" fontId="4" fillId="0" borderId="5" xfId="0" applyFont="1" applyBorder="1" applyAlignment="1">
      <alignment vertical="top" wrapText="1"/>
    </xf>
    <xf numFmtId="0" fontId="13" fillId="0" borderId="1" xfId="0" quotePrefix="1" applyFont="1" applyBorder="1" applyAlignment="1">
      <alignment vertical="top" wrapText="1"/>
    </xf>
    <xf numFmtId="0" fontId="12" fillId="2" borderId="1" xfId="1" applyFont="1" applyFill="1" applyBorder="1" applyAlignment="1" applyProtection="1">
      <alignment vertical="top" wrapText="1"/>
    </xf>
    <xf numFmtId="0" fontId="3" fillId="2" borderId="3" xfId="1" applyFill="1" applyBorder="1" applyAlignment="1" applyProtection="1">
      <alignment vertical="top" wrapText="1"/>
    </xf>
    <xf numFmtId="0" fontId="3" fillId="0" borderId="3" xfId="1" applyBorder="1" applyAlignment="1" applyProtection="1">
      <alignment vertical="top" wrapText="1"/>
    </xf>
    <xf numFmtId="0" fontId="4" fillId="2" borderId="8" xfId="0" applyFont="1" applyFill="1" applyBorder="1" applyAlignment="1" applyProtection="1">
      <alignment vertical="top"/>
      <protection hidden="1"/>
    </xf>
    <xf numFmtId="0" fontId="4" fillId="2" borderId="8" xfId="0" quotePrefix="1" applyFont="1" applyFill="1" applyBorder="1" applyAlignment="1" applyProtection="1">
      <alignment vertical="top"/>
      <protection hidden="1"/>
    </xf>
    <xf numFmtId="0" fontId="34" fillId="0" borderId="1" xfId="0" applyFont="1" applyBorder="1" applyAlignment="1">
      <alignment vertical="top" wrapText="1"/>
    </xf>
    <xf numFmtId="0" fontId="4" fillId="2" borderId="0" xfId="0" applyFont="1" applyFill="1" applyAlignment="1" applyProtection="1">
      <alignment vertical="top"/>
      <protection hidden="1"/>
    </xf>
    <xf numFmtId="0" fontId="4" fillId="2" borderId="14" xfId="0" applyFont="1" applyFill="1" applyBorder="1" applyAlignment="1" applyProtection="1">
      <alignment vertical="top"/>
      <protection hidden="1"/>
    </xf>
    <xf numFmtId="0" fontId="4" fillId="2" borderId="15" xfId="0" applyFont="1" applyFill="1" applyBorder="1" applyAlignment="1" applyProtection="1">
      <alignment vertical="center"/>
      <protection hidden="1"/>
    </xf>
    <xf numFmtId="0" fontId="4" fillId="2" borderId="16" xfId="0" applyFont="1" applyFill="1" applyBorder="1" applyAlignment="1" applyProtection="1">
      <alignment vertical="center"/>
      <protection hidden="1"/>
    </xf>
    <xf numFmtId="0" fontId="4" fillId="2" borderId="17" xfId="0" applyFont="1" applyFill="1" applyBorder="1" applyAlignment="1" applyProtection="1">
      <alignment vertical="center"/>
      <protection hidden="1"/>
    </xf>
    <xf numFmtId="0" fontId="4" fillId="2" borderId="18" xfId="0" quotePrefix="1" applyFont="1" applyFill="1" applyBorder="1" applyAlignment="1" applyProtection="1">
      <alignment vertical="center"/>
      <protection hidden="1"/>
    </xf>
    <xf numFmtId="0" fontId="1" fillId="0" borderId="18" xfId="0" quotePrefix="1" applyFont="1" applyBorder="1" applyAlignment="1">
      <alignment vertical="center"/>
    </xf>
    <xf numFmtId="0" fontId="0" fillId="0" borderId="17" xfId="0" applyBorder="1" applyAlignment="1">
      <alignment vertical="center"/>
    </xf>
    <xf numFmtId="0" fontId="0" fillId="0" borderId="19" xfId="0" applyBorder="1" applyAlignment="1">
      <alignment vertical="center"/>
    </xf>
    <xf numFmtId="0" fontId="1" fillId="0" borderId="20" xfId="0" quotePrefix="1" applyFont="1" applyBorder="1" applyAlignment="1">
      <alignment vertical="center"/>
    </xf>
    <xf numFmtId="0" fontId="0" fillId="0" borderId="0" xfId="0" quotePrefix="1"/>
    <xf numFmtId="0" fontId="3" fillId="0" borderId="0" xfId="1" applyBorder="1" applyAlignment="1" applyProtection="1">
      <alignment vertical="top" wrapText="1"/>
    </xf>
    <xf numFmtId="0" fontId="34" fillId="0" borderId="1" xfId="1" applyFont="1" applyBorder="1" applyAlignment="1" applyProtection="1">
      <alignment vertical="top" wrapText="1"/>
    </xf>
    <xf numFmtId="0" fontId="32" fillId="0" borderId="1" xfId="1" applyFont="1" applyBorder="1" applyAlignment="1" applyProtection="1">
      <alignment vertical="top" wrapText="1"/>
    </xf>
    <xf numFmtId="0" fontId="4" fillId="0" borderId="0" xfId="0" applyFont="1" applyAlignment="1">
      <alignment horizontal="center" vertical="top"/>
    </xf>
    <xf numFmtId="0" fontId="1" fillId="0" borderId="0" xfId="0" quotePrefix="1" applyFont="1" applyAlignment="1">
      <alignment wrapText="1"/>
    </xf>
    <xf numFmtId="0" fontId="11" fillId="3" borderId="5" xfId="0" applyFont="1" applyFill="1" applyBorder="1" applyAlignment="1">
      <alignment vertical="top"/>
    </xf>
    <xf numFmtId="0" fontId="11" fillId="3" borderId="3" xfId="0" applyFont="1" applyFill="1" applyBorder="1" applyAlignment="1">
      <alignment vertical="top"/>
    </xf>
    <xf numFmtId="0" fontId="11" fillId="3" borderId="4" xfId="0" applyFont="1" applyFill="1" applyBorder="1" applyAlignment="1">
      <alignment vertical="top"/>
    </xf>
    <xf numFmtId="0" fontId="11" fillId="3" borderId="1" xfId="0" applyFont="1" applyFill="1" applyBorder="1" applyAlignment="1">
      <alignment vertical="top"/>
    </xf>
    <xf numFmtId="0" fontId="11" fillId="3" borderId="2" xfId="0" applyFont="1" applyFill="1" applyBorder="1" applyAlignment="1">
      <alignment vertical="top"/>
    </xf>
    <xf numFmtId="0" fontId="8" fillId="3" borderId="11" xfId="0" applyFont="1" applyFill="1" applyBorder="1" applyAlignment="1">
      <alignment vertical="top"/>
    </xf>
    <xf numFmtId="0" fontId="36" fillId="0" borderId="0" xfId="0" applyFont="1" applyAlignment="1">
      <alignment vertical="top"/>
    </xf>
    <xf numFmtId="0" fontId="37" fillId="0" borderId="0" xfId="0" applyFont="1" applyAlignment="1">
      <alignment vertical="top"/>
    </xf>
    <xf numFmtId="0" fontId="26" fillId="4" borderId="3" xfId="1" applyFont="1" applyFill="1" applyBorder="1" applyAlignment="1" applyProtection="1">
      <alignment vertical="top" wrapText="1"/>
    </xf>
    <xf numFmtId="0" fontId="26" fillId="4" borderId="4" xfId="1" applyFont="1" applyFill="1" applyBorder="1" applyAlignment="1" applyProtection="1">
      <alignment vertical="top" wrapText="1"/>
    </xf>
    <xf numFmtId="0" fontId="26" fillId="4" borderId="1" xfId="1" applyFont="1" applyFill="1" applyBorder="1" applyAlignment="1" applyProtection="1">
      <alignment vertical="top" wrapText="1"/>
    </xf>
    <xf numFmtId="0" fontId="26" fillId="4" borderId="1" xfId="1" applyFont="1" applyFill="1" applyBorder="1" applyProtection="1">
      <alignment vertical="top"/>
    </xf>
    <xf numFmtId="0" fontId="1" fillId="4" borderId="1" xfId="0" applyFont="1" applyFill="1" applyBorder="1" applyAlignment="1">
      <alignment vertical="top"/>
    </xf>
    <xf numFmtId="0" fontId="1" fillId="4" borderId="0" xfId="0" applyFont="1" applyFill="1" applyAlignment="1">
      <alignment vertical="top"/>
    </xf>
    <xf numFmtId="0" fontId="26" fillId="4" borderId="0" xfId="1" applyFont="1" applyFill="1" applyAlignment="1" applyProtection="1">
      <alignment vertical="top" wrapText="1"/>
    </xf>
    <xf numFmtId="0" fontId="26" fillId="4" borderId="2" xfId="1" applyFont="1" applyFill="1" applyBorder="1" applyAlignment="1" applyProtection="1">
      <alignment vertical="top" wrapText="1"/>
    </xf>
    <xf numFmtId="0" fontId="37" fillId="0" borderId="0" xfId="0" applyFont="1" applyAlignment="1" applyProtection="1">
      <alignment vertical="top"/>
      <protection hidden="1"/>
    </xf>
    <xf numFmtId="0" fontId="36" fillId="0" borderId="0" xfId="0" applyFont="1" applyAlignment="1" applyProtection="1">
      <alignment vertical="top"/>
      <protection hidden="1"/>
    </xf>
    <xf numFmtId="0" fontId="9" fillId="3" borderId="6" xfId="1" applyFont="1" applyFill="1" applyBorder="1" applyProtection="1">
      <alignment vertical="top"/>
      <protection hidden="1"/>
    </xf>
    <xf numFmtId="0" fontId="9" fillId="3" borderId="5" xfId="1" applyFont="1" applyFill="1" applyBorder="1" applyAlignment="1" applyProtection="1">
      <alignment vertical="top" wrapText="1"/>
    </xf>
    <xf numFmtId="0" fontId="8" fillId="3" borderId="5" xfId="0" applyFont="1" applyFill="1" applyBorder="1" applyAlignment="1" applyProtection="1">
      <alignment vertical="top"/>
      <protection locked="0"/>
    </xf>
    <xf numFmtId="0" fontId="8" fillId="3" borderId="5" xfId="0" applyFont="1" applyFill="1" applyBorder="1" applyAlignment="1" applyProtection="1">
      <alignment vertical="top" wrapText="1"/>
      <protection locked="0"/>
    </xf>
    <xf numFmtId="0" fontId="21" fillId="3" borderId="5" xfId="0" applyFont="1" applyFill="1" applyBorder="1" applyAlignment="1" applyProtection="1">
      <alignment vertical="top"/>
      <protection locked="0"/>
    </xf>
    <xf numFmtId="0" fontId="4" fillId="4" borderId="1" xfId="0" applyFont="1" applyFill="1" applyBorder="1" applyAlignment="1">
      <alignment vertical="top"/>
    </xf>
    <xf numFmtId="0" fontId="4" fillId="4" borderId="1" xfId="0" applyFont="1" applyFill="1" applyBorder="1" applyAlignment="1">
      <alignment horizontal="left" vertical="top"/>
    </xf>
    <xf numFmtId="0" fontId="1" fillId="4" borderId="1" xfId="0" applyFont="1" applyFill="1" applyBorder="1" applyAlignment="1">
      <alignment horizontal="left" vertical="top"/>
    </xf>
    <xf numFmtId="0" fontId="4" fillId="4" borderId="1" xfId="0" applyFont="1" applyFill="1" applyBorder="1" applyAlignment="1">
      <alignment horizontal="center" vertical="top"/>
    </xf>
    <xf numFmtId="0" fontId="10" fillId="3" borderId="5" xfId="1" applyFont="1" applyFill="1" applyBorder="1" applyAlignment="1" applyProtection="1">
      <alignment vertical="top" wrapText="1"/>
    </xf>
    <xf numFmtId="0" fontId="8" fillId="3" borderId="5" xfId="0" applyFont="1" applyFill="1" applyBorder="1" applyAlignment="1" applyProtection="1">
      <alignment horizontal="left" vertical="top"/>
      <protection locked="0"/>
    </xf>
    <xf numFmtId="0" fontId="8" fillId="3" borderId="5" xfId="0" applyFont="1" applyFill="1" applyBorder="1" applyAlignment="1">
      <alignment vertical="top"/>
    </xf>
    <xf numFmtId="0" fontId="8" fillId="3" borderId="5" xfId="0" applyFont="1" applyFill="1" applyBorder="1" applyAlignment="1">
      <alignment vertical="top" wrapText="1"/>
    </xf>
    <xf numFmtId="0" fontId="4" fillId="4" borderId="4" xfId="0" applyFont="1" applyFill="1" applyBorder="1" applyAlignment="1">
      <alignment vertical="top"/>
    </xf>
    <xf numFmtId="0" fontId="4" fillId="4" borderId="2" xfId="0" applyFont="1" applyFill="1" applyBorder="1" applyAlignment="1">
      <alignment vertical="top"/>
    </xf>
    <xf numFmtId="0" fontId="9" fillId="3" borderId="3" xfId="1" applyFont="1" applyFill="1" applyBorder="1" applyProtection="1">
      <alignment vertical="top"/>
    </xf>
    <xf numFmtId="0" fontId="8" fillId="3" borderId="1" xfId="0" applyFont="1" applyFill="1" applyBorder="1" applyAlignment="1" applyProtection="1">
      <alignment vertical="top"/>
      <protection locked="0"/>
    </xf>
    <xf numFmtId="0" fontId="11" fillId="3" borderId="1" xfId="0" applyFont="1" applyFill="1" applyBorder="1" applyAlignment="1" applyProtection="1">
      <alignment vertical="top" wrapText="1"/>
      <protection locked="0"/>
    </xf>
    <xf numFmtId="0" fontId="11" fillId="3" borderId="1" xfId="0" applyFont="1" applyFill="1" applyBorder="1" applyAlignment="1" applyProtection="1">
      <alignment vertical="top"/>
      <protection locked="0"/>
    </xf>
    <xf numFmtId="0" fontId="10" fillId="3" borderId="6" xfId="1" applyFont="1" applyFill="1" applyBorder="1" applyProtection="1">
      <alignment vertical="top"/>
    </xf>
    <xf numFmtId="0" fontId="8" fillId="3" borderId="4" xfId="0" applyFont="1" applyFill="1" applyBorder="1" applyAlignment="1" applyProtection="1">
      <alignment vertical="top"/>
      <protection locked="0"/>
    </xf>
    <xf numFmtId="0" fontId="8" fillId="3" borderId="4" xfId="0" applyFont="1" applyFill="1" applyBorder="1" applyAlignment="1" applyProtection="1">
      <alignment vertical="top" wrapText="1"/>
      <protection locked="0"/>
    </xf>
    <xf numFmtId="0" fontId="13" fillId="4" borderId="1" xfId="0" applyFont="1" applyFill="1" applyBorder="1" applyAlignment="1">
      <alignment vertical="top"/>
    </xf>
    <xf numFmtId="0" fontId="10" fillId="3" borderId="6" xfId="1" applyFont="1" applyFill="1" applyBorder="1" applyAlignment="1" applyProtection="1">
      <alignment vertical="top" wrapText="1"/>
    </xf>
    <xf numFmtId="0" fontId="8" fillId="3" borderId="7" xfId="0" applyFont="1" applyFill="1" applyBorder="1" applyAlignment="1" applyProtection="1">
      <alignment vertical="top"/>
      <protection locked="0"/>
    </xf>
    <xf numFmtId="0" fontId="8" fillId="3" borderId="7" xfId="0" applyFont="1" applyFill="1" applyBorder="1" applyAlignment="1" applyProtection="1">
      <alignment vertical="top" wrapText="1"/>
      <protection locked="0"/>
    </xf>
    <xf numFmtId="0" fontId="1" fillId="4" borderId="4" xfId="0" applyFont="1" applyFill="1" applyBorder="1" applyAlignment="1">
      <alignment vertical="top"/>
    </xf>
    <xf numFmtId="0" fontId="4" fillId="4" borderId="9" xfId="0" applyFont="1" applyFill="1" applyBorder="1" applyAlignment="1">
      <alignment vertical="top"/>
    </xf>
    <xf numFmtId="0" fontId="9" fillId="3" borderId="6" xfId="1" applyFont="1" applyFill="1" applyBorder="1" applyAlignment="1" applyProtection="1">
      <alignment vertical="top" wrapText="1"/>
    </xf>
    <xf numFmtId="0" fontId="11" fillId="3" borderId="7" xfId="0" applyFont="1" applyFill="1" applyBorder="1" applyAlignment="1" applyProtection="1">
      <alignment vertical="top" wrapText="1"/>
      <protection locked="0"/>
    </xf>
    <xf numFmtId="0" fontId="11" fillId="3" borderId="7" xfId="0" applyFont="1" applyFill="1" applyBorder="1" applyAlignment="1" applyProtection="1">
      <alignment vertical="top"/>
      <protection locked="0"/>
    </xf>
    <xf numFmtId="0" fontId="4" fillId="4" borderId="1" xfId="0" applyFont="1" applyFill="1" applyBorder="1" applyAlignment="1">
      <alignment vertical="top" wrapText="1"/>
    </xf>
    <xf numFmtId="0" fontId="9" fillId="3" borderId="6" xfId="1" applyFont="1" applyFill="1" applyBorder="1" applyProtection="1">
      <alignment vertical="top"/>
    </xf>
    <xf numFmtId="0" fontId="8" fillId="3" borderId="6" xfId="0" applyFont="1" applyFill="1" applyBorder="1" applyAlignment="1" applyProtection="1">
      <alignment vertical="top"/>
      <protection locked="0"/>
    </xf>
    <xf numFmtId="0" fontId="11" fillId="3" borderId="6" xfId="0" applyFont="1" applyFill="1" applyBorder="1" applyAlignment="1" applyProtection="1">
      <alignment vertical="top" wrapText="1"/>
      <protection locked="0"/>
    </xf>
    <xf numFmtId="0" fontId="11" fillId="3" borderId="6" xfId="0" applyFont="1" applyFill="1" applyBorder="1" applyAlignment="1" applyProtection="1">
      <alignment vertical="top"/>
      <protection locked="0"/>
    </xf>
    <xf numFmtId="0" fontId="4" fillId="4" borderId="3" xfId="0" applyFont="1" applyFill="1" applyBorder="1" applyAlignment="1">
      <alignment vertical="top"/>
    </xf>
    <xf numFmtId="0" fontId="11" fillId="3" borderId="5" xfId="0" applyFont="1" applyFill="1" applyBorder="1" applyAlignment="1" applyProtection="1">
      <alignment vertical="top" wrapText="1"/>
      <protection locked="0"/>
    </xf>
    <xf numFmtId="0" fontId="11" fillId="3" borderId="5" xfId="0" applyFont="1" applyFill="1" applyBorder="1" applyAlignment="1" applyProtection="1">
      <alignment vertical="top"/>
      <protection locked="0"/>
    </xf>
    <xf numFmtId="0" fontId="4" fillId="4" borderId="12" xfId="0" applyFont="1" applyFill="1" applyBorder="1" applyAlignment="1">
      <alignment vertical="top"/>
    </xf>
    <xf numFmtId="0" fontId="4" fillId="4" borderId="13" xfId="0" applyFont="1" applyFill="1" applyBorder="1" applyAlignment="1">
      <alignment vertical="top"/>
    </xf>
    <xf numFmtId="0" fontId="10" fillId="3" borderId="3" xfId="1" applyFont="1" applyFill="1" applyBorder="1" applyAlignment="1" applyProtection="1">
      <alignment vertical="top" wrapText="1"/>
    </xf>
    <xf numFmtId="0" fontId="8" fillId="3" borderId="3" xfId="0" applyFont="1" applyFill="1" applyBorder="1" applyAlignment="1" applyProtection="1">
      <alignment vertical="top"/>
      <protection locked="0"/>
    </xf>
    <xf numFmtId="0" fontId="8" fillId="3" borderId="3" xfId="0" applyFont="1" applyFill="1" applyBorder="1" applyAlignment="1" applyProtection="1">
      <alignment vertical="top" wrapText="1"/>
      <protection locked="0"/>
    </xf>
    <xf numFmtId="0" fontId="6" fillId="4" borderId="1" xfId="0" applyFont="1" applyFill="1" applyBorder="1" applyAlignment="1">
      <alignment vertical="top"/>
    </xf>
    <xf numFmtId="0" fontId="9" fillId="3" borderId="3" xfId="1" applyFont="1" applyFill="1" applyBorder="1" applyAlignment="1" applyProtection="1">
      <alignment vertical="top" wrapText="1"/>
    </xf>
    <xf numFmtId="0" fontId="6" fillId="4" borderId="4" xfId="0" applyFont="1" applyFill="1" applyBorder="1" applyAlignment="1">
      <alignment vertical="top"/>
    </xf>
    <xf numFmtId="0" fontId="6" fillId="4" borderId="2" xfId="0" applyFont="1" applyFill="1" applyBorder="1" applyAlignment="1">
      <alignment vertical="top"/>
    </xf>
    <xf numFmtId="0" fontId="8" fillId="3" borderId="6" xfId="0" applyFont="1" applyFill="1" applyBorder="1" applyAlignment="1" applyProtection="1">
      <alignment vertical="top" wrapText="1"/>
      <protection locked="0"/>
    </xf>
    <xf numFmtId="0" fontId="6" fillId="4" borderId="9" xfId="0" applyFont="1" applyFill="1" applyBorder="1" applyAlignment="1">
      <alignment vertical="top"/>
    </xf>
    <xf numFmtId="0" fontId="1"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vertical="top"/>
    </xf>
    <xf numFmtId="0" fontId="11" fillId="3" borderId="11" xfId="0" applyFont="1" applyFill="1" applyBorder="1" applyAlignment="1">
      <alignment vertical="top"/>
    </xf>
    <xf numFmtId="0" fontId="11" fillId="3" borderId="21" xfId="0" applyFont="1" applyFill="1" applyBorder="1" applyAlignment="1">
      <alignment vertical="top"/>
    </xf>
    <xf numFmtId="0" fontId="11" fillId="3" borderId="22" xfId="0" applyFont="1" applyFill="1" applyBorder="1" applyAlignment="1">
      <alignment vertical="top"/>
    </xf>
    <xf numFmtId="0" fontId="6" fillId="0" borderId="19" xfId="0" applyFont="1" applyBorder="1" applyAlignment="1">
      <alignment vertical="top"/>
    </xf>
    <xf numFmtId="0" fontId="0" fillId="0" borderId="23" xfId="0" applyBorder="1" applyAlignment="1">
      <alignment vertical="top"/>
    </xf>
    <xf numFmtId="0" fontId="6" fillId="0" borderId="0" xfId="0" applyFont="1" applyAlignment="1">
      <alignment vertical="top"/>
    </xf>
    <xf numFmtId="0" fontId="0" fillId="0" borderId="0" xfId="0" applyAlignment="1">
      <alignment vertical="top"/>
    </xf>
    <xf numFmtId="0" fontId="6" fillId="0" borderId="17"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colors>
    <mruColors>
      <color rgb="FFF8D8F3"/>
      <color rgb="FF951B81"/>
      <color rgb="FFFBE9F8"/>
      <color rgb="FFEFA7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List" dx="26" fmlaLink="$A$70" fmlaRange="$B$65:$B$68" noThreeD="1" sel="4"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5.emf"/><Relationship Id="rId18" Type="http://schemas.openxmlformats.org/officeDocument/2006/relationships/image" Target="../media/image20.emf"/><Relationship Id="rId26" Type="http://schemas.openxmlformats.org/officeDocument/2006/relationships/image" Target="../media/image28.emf"/><Relationship Id="rId3" Type="http://schemas.openxmlformats.org/officeDocument/2006/relationships/image" Target="../media/image5.emf"/><Relationship Id="rId21" Type="http://schemas.openxmlformats.org/officeDocument/2006/relationships/image" Target="../media/image23.emf"/><Relationship Id="rId34" Type="http://schemas.openxmlformats.org/officeDocument/2006/relationships/image" Target="../media/image36.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5" Type="http://schemas.openxmlformats.org/officeDocument/2006/relationships/image" Target="../media/image27.emf"/><Relationship Id="rId33" Type="http://schemas.openxmlformats.org/officeDocument/2006/relationships/image" Target="../media/image35.emf"/><Relationship Id="rId2" Type="http://schemas.openxmlformats.org/officeDocument/2006/relationships/image" Target="../media/image4.emf"/><Relationship Id="rId16" Type="http://schemas.openxmlformats.org/officeDocument/2006/relationships/image" Target="../media/image18.emf"/><Relationship Id="rId20" Type="http://schemas.openxmlformats.org/officeDocument/2006/relationships/image" Target="../media/image22.emf"/><Relationship Id="rId29" Type="http://schemas.openxmlformats.org/officeDocument/2006/relationships/image" Target="../media/image31.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24" Type="http://schemas.openxmlformats.org/officeDocument/2006/relationships/image" Target="../media/image26.emf"/><Relationship Id="rId32" Type="http://schemas.openxmlformats.org/officeDocument/2006/relationships/image" Target="../media/image34.emf"/><Relationship Id="rId5" Type="http://schemas.openxmlformats.org/officeDocument/2006/relationships/image" Target="../media/image7.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30.emf"/><Relationship Id="rId10" Type="http://schemas.openxmlformats.org/officeDocument/2006/relationships/image" Target="../media/image12.emf"/><Relationship Id="rId19" Type="http://schemas.openxmlformats.org/officeDocument/2006/relationships/image" Target="../media/image21.emf"/><Relationship Id="rId31" Type="http://schemas.openxmlformats.org/officeDocument/2006/relationships/image" Target="../media/image33.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29.emf"/><Relationship Id="rId30" Type="http://schemas.openxmlformats.org/officeDocument/2006/relationships/image" Target="../media/image32.emf"/><Relationship Id="rId35" Type="http://schemas.openxmlformats.org/officeDocument/2006/relationships/image" Target="../media/image2.emf"/><Relationship Id="rId8"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0</xdr:rowOff>
    </xdr:from>
    <xdr:to>
      <xdr:col>7</xdr:col>
      <xdr:colOff>15253</xdr:colOff>
      <xdr:row>0</xdr:row>
      <xdr:rowOff>0</xdr:rowOff>
    </xdr:to>
    <xdr:sp macro="" textlink="">
      <xdr:nvSpPr>
        <xdr:cNvPr id="36865" name="Text Box 7">
          <a:extLst>
            <a:ext uri="{FF2B5EF4-FFF2-40B4-BE49-F238E27FC236}">
              <a16:creationId xmlns:a16="http://schemas.microsoft.com/office/drawing/2014/main" id="{00000000-0008-0000-0000-000001900000}"/>
            </a:ext>
          </a:extLst>
        </xdr:cNvPr>
        <xdr:cNvSpPr txBox="1">
          <a:spLocks noChangeArrowheads="1"/>
        </xdr:cNvSpPr>
      </xdr:nvSpPr>
      <xdr:spPr bwMode="auto">
        <a:xfrm>
          <a:off x="4076700" y="0"/>
          <a:ext cx="4371975" cy="0"/>
        </a:xfrm>
        <a:prstGeom prst="rect">
          <a:avLst/>
        </a:prstGeom>
        <a:solidFill>
          <a:srgbClr xmlns:mc="http://schemas.openxmlformats.org/markup-compatibility/2006" xmlns:a14="http://schemas.microsoft.com/office/drawing/2010/main" val="FF6600" mc:Ignorable="a14" a14:legacySpreadsheetColorIndex="53"/>
        </a:solidFill>
        <a:ln w="9525">
          <a:solidFill>
            <a:srgbClr val="000000"/>
          </a:solidFill>
          <a:miter lim="800000"/>
          <a:headEnd/>
          <a:tailEnd/>
        </a:ln>
      </xdr:spPr>
      <xdr:txBody>
        <a:bodyPr vertOverflow="clip" wrap="square" lIns="36576" tIns="27432" rIns="36576" bIns="0" anchor="t"/>
        <a:lstStyle/>
        <a:p>
          <a:pPr algn="l" rtl="0">
            <a:defRPr sz="1000"/>
          </a:pPr>
          <a:r>
            <a:rPr lang="nl-NL" sz="1200" b="0" i="0" u="none" strike="noStrike" baseline="0">
              <a:solidFill>
                <a:srgbClr val="FFFFFF"/>
              </a:solidFill>
              <a:latin typeface="Arial"/>
              <a:cs typeface="Arial"/>
            </a:rPr>
            <a:t>Paragrafen</a:t>
          </a:r>
        </a:p>
      </xdr:txBody>
    </xdr:sp>
    <xdr:clientData/>
  </xdr:twoCellAnchor>
  <xdr:twoCellAnchor>
    <xdr:from>
      <xdr:col>0</xdr:col>
      <xdr:colOff>0</xdr:colOff>
      <xdr:row>0</xdr:row>
      <xdr:rowOff>0</xdr:rowOff>
    </xdr:from>
    <xdr:to>
      <xdr:col>0</xdr:col>
      <xdr:colOff>2364340</xdr:colOff>
      <xdr:row>0</xdr:row>
      <xdr:rowOff>0</xdr:rowOff>
    </xdr:to>
    <xdr:sp macro="" textlink="">
      <xdr:nvSpPr>
        <xdr:cNvPr id="36867" name="Text Box 9">
          <a:extLst>
            <a:ext uri="{FF2B5EF4-FFF2-40B4-BE49-F238E27FC236}">
              <a16:creationId xmlns:a16="http://schemas.microsoft.com/office/drawing/2014/main" id="{00000000-0008-0000-0000-000003900000}"/>
            </a:ext>
          </a:extLst>
        </xdr:cNvPr>
        <xdr:cNvSpPr txBox="1">
          <a:spLocks noChangeArrowheads="1"/>
        </xdr:cNvSpPr>
      </xdr:nvSpPr>
      <xdr:spPr bwMode="auto">
        <a:xfrm>
          <a:off x="0" y="0"/>
          <a:ext cx="2295525" cy="0"/>
        </a:xfrm>
        <a:prstGeom prst="rect">
          <a:avLst/>
        </a:prstGeom>
        <a:solidFill>
          <a:srgbClr xmlns:mc="http://schemas.openxmlformats.org/markup-compatibility/2006" xmlns:a14="http://schemas.microsoft.com/office/drawing/2010/main" val="FF6600" mc:Ignorable="a14" a14:legacySpreadsheetColorIndex="53"/>
        </a:solidFill>
        <a:ln w="9525">
          <a:solidFill>
            <a:srgbClr val="000000"/>
          </a:solidFill>
          <a:miter lim="800000"/>
          <a:headEnd/>
          <a:tailEnd/>
        </a:ln>
      </xdr:spPr>
      <xdr:txBody>
        <a:bodyPr vertOverflow="clip" wrap="square" lIns="36576" tIns="27432" rIns="0" bIns="0" anchor="t"/>
        <a:lstStyle/>
        <a:p>
          <a:pPr algn="l" rtl="0">
            <a:defRPr sz="1000"/>
          </a:pPr>
          <a:r>
            <a:rPr lang="nl-NL" sz="1200" b="0" i="0" u="none" strike="noStrike" baseline="0">
              <a:solidFill>
                <a:srgbClr val="FFFFFF"/>
              </a:solidFill>
              <a:latin typeface="Arial"/>
              <a:cs typeface="Arial"/>
            </a:rPr>
            <a:t>Hoofdsssstukken</a:t>
          </a:r>
        </a:p>
      </xdr:txBody>
    </xdr:sp>
    <xdr:clientData/>
  </xdr:twoCellAnchor>
  <xdr:twoCellAnchor editAs="oneCell">
    <xdr:from>
      <xdr:col>6</xdr:col>
      <xdr:colOff>76200</xdr:colOff>
      <xdr:row>0</xdr:row>
      <xdr:rowOff>47625</xdr:rowOff>
    </xdr:from>
    <xdr:to>
      <xdr:col>6</xdr:col>
      <xdr:colOff>773430</xdr:colOff>
      <xdr:row>2</xdr:row>
      <xdr:rowOff>140002</xdr:rowOff>
    </xdr:to>
    <xdr:pic>
      <xdr:nvPicPr>
        <xdr:cNvPr id="2" name="Afbeelding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6200" y="47625"/>
          <a:ext cx="695325" cy="5800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95250</xdr:colOff>
          <xdr:row>5</xdr:row>
          <xdr:rowOff>31750</xdr:rowOff>
        </xdr:from>
        <xdr:to>
          <xdr:col>2</xdr:col>
          <xdr:colOff>228600</xdr:colOff>
          <xdr:row>5</xdr:row>
          <xdr:rowOff>171450</xdr:rowOff>
        </xdr:to>
        <xdr:sp macro="" textlink="">
          <xdr:nvSpPr>
            <xdr:cNvPr id="1443" name="CheckBox1" hidden="1">
              <a:extLst>
                <a:ext uri="{63B3BB69-23CF-44E3-9099-C40C66FF867C}">
                  <a14:compatExt spid="_x0000_s1443"/>
                </a:ext>
                <a:ext uri="{FF2B5EF4-FFF2-40B4-BE49-F238E27FC236}">
                  <a16:creationId xmlns:a16="http://schemas.microsoft.com/office/drawing/2014/main" id="{00000000-0008-0000-0100-0000A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31750</xdr:rowOff>
        </xdr:from>
        <xdr:to>
          <xdr:col>2</xdr:col>
          <xdr:colOff>228600</xdr:colOff>
          <xdr:row>7</xdr:row>
          <xdr:rowOff>171450</xdr:rowOff>
        </xdr:to>
        <xdr:sp macro="" textlink="">
          <xdr:nvSpPr>
            <xdr:cNvPr id="1444" name="CheckBox2" hidden="1">
              <a:extLst>
                <a:ext uri="{63B3BB69-23CF-44E3-9099-C40C66FF867C}">
                  <a14:compatExt spid="_x0000_s1444"/>
                </a:ext>
                <a:ext uri="{FF2B5EF4-FFF2-40B4-BE49-F238E27FC236}">
                  <a16:creationId xmlns:a16="http://schemas.microsoft.com/office/drawing/2014/main" id="{00000000-0008-0000-0100-0000A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31750</xdr:rowOff>
        </xdr:from>
        <xdr:to>
          <xdr:col>2</xdr:col>
          <xdr:colOff>228600</xdr:colOff>
          <xdr:row>8</xdr:row>
          <xdr:rowOff>171450</xdr:rowOff>
        </xdr:to>
        <xdr:sp macro="" textlink="">
          <xdr:nvSpPr>
            <xdr:cNvPr id="1445" name="CheckBox3" hidden="1">
              <a:extLst>
                <a:ext uri="{63B3BB69-23CF-44E3-9099-C40C66FF867C}">
                  <a14:compatExt spid="_x0000_s1445"/>
                </a:ext>
                <a:ext uri="{FF2B5EF4-FFF2-40B4-BE49-F238E27FC236}">
                  <a16:creationId xmlns:a16="http://schemas.microsoft.com/office/drawing/2014/main" id="{00000000-0008-0000-0100-0000A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31750</xdr:rowOff>
        </xdr:from>
        <xdr:to>
          <xdr:col>2</xdr:col>
          <xdr:colOff>228600</xdr:colOff>
          <xdr:row>9</xdr:row>
          <xdr:rowOff>171450</xdr:rowOff>
        </xdr:to>
        <xdr:sp macro="" textlink="">
          <xdr:nvSpPr>
            <xdr:cNvPr id="1446" name="CheckBox4" hidden="1">
              <a:extLst>
                <a:ext uri="{63B3BB69-23CF-44E3-9099-C40C66FF867C}">
                  <a14:compatExt spid="_x0000_s1446"/>
                </a:ext>
                <a:ext uri="{FF2B5EF4-FFF2-40B4-BE49-F238E27FC236}">
                  <a16:creationId xmlns:a16="http://schemas.microsoft.com/office/drawing/2014/main" id="{00000000-0008-0000-0100-0000A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31750</xdr:rowOff>
        </xdr:from>
        <xdr:to>
          <xdr:col>2</xdr:col>
          <xdr:colOff>228600</xdr:colOff>
          <xdr:row>10</xdr:row>
          <xdr:rowOff>171450</xdr:rowOff>
        </xdr:to>
        <xdr:sp macro="" textlink="">
          <xdr:nvSpPr>
            <xdr:cNvPr id="1447" name="CheckBox5" hidden="1">
              <a:extLst>
                <a:ext uri="{63B3BB69-23CF-44E3-9099-C40C66FF867C}">
                  <a14:compatExt spid="_x0000_s1447"/>
                </a:ext>
                <a:ext uri="{FF2B5EF4-FFF2-40B4-BE49-F238E27FC236}">
                  <a16:creationId xmlns:a16="http://schemas.microsoft.com/office/drawing/2014/main" id="{00000000-0008-0000-0100-0000A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31750</xdr:rowOff>
        </xdr:from>
        <xdr:to>
          <xdr:col>2</xdr:col>
          <xdr:colOff>228600</xdr:colOff>
          <xdr:row>11</xdr:row>
          <xdr:rowOff>171450</xdr:rowOff>
        </xdr:to>
        <xdr:sp macro="" textlink="">
          <xdr:nvSpPr>
            <xdr:cNvPr id="1448" name="CheckBox6" hidden="1">
              <a:extLst>
                <a:ext uri="{63B3BB69-23CF-44E3-9099-C40C66FF867C}">
                  <a14:compatExt spid="_x0000_s1448"/>
                </a:ext>
                <a:ext uri="{FF2B5EF4-FFF2-40B4-BE49-F238E27FC236}">
                  <a16:creationId xmlns:a16="http://schemas.microsoft.com/office/drawing/2014/main" id="{00000000-0008-0000-0100-0000A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19050</xdr:rowOff>
        </xdr:from>
        <xdr:to>
          <xdr:col>2</xdr:col>
          <xdr:colOff>228600</xdr:colOff>
          <xdr:row>12</xdr:row>
          <xdr:rowOff>165100</xdr:rowOff>
        </xdr:to>
        <xdr:sp macro="" textlink="">
          <xdr:nvSpPr>
            <xdr:cNvPr id="1449" name="CheckBox7" hidden="1">
              <a:extLst>
                <a:ext uri="{63B3BB69-23CF-44E3-9099-C40C66FF867C}">
                  <a14:compatExt spid="_x0000_s1449"/>
                </a:ext>
                <a:ext uri="{FF2B5EF4-FFF2-40B4-BE49-F238E27FC236}">
                  <a16:creationId xmlns:a16="http://schemas.microsoft.com/office/drawing/2014/main" id="{00000000-0008-0000-0100-0000A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31750</xdr:rowOff>
        </xdr:from>
        <xdr:to>
          <xdr:col>2</xdr:col>
          <xdr:colOff>228600</xdr:colOff>
          <xdr:row>13</xdr:row>
          <xdr:rowOff>171450</xdr:rowOff>
        </xdr:to>
        <xdr:sp macro="" textlink="">
          <xdr:nvSpPr>
            <xdr:cNvPr id="1450" name="CheckBox8" hidden="1">
              <a:extLst>
                <a:ext uri="{63B3BB69-23CF-44E3-9099-C40C66FF867C}">
                  <a14:compatExt spid="_x0000_s1450"/>
                </a:ext>
                <a:ext uri="{FF2B5EF4-FFF2-40B4-BE49-F238E27FC236}">
                  <a16:creationId xmlns:a16="http://schemas.microsoft.com/office/drawing/2014/main" id="{00000000-0008-0000-0100-0000A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19050</xdr:rowOff>
        </xdr:from>
        <xdr:to>
          <xdr:col>2</xdr:col>
          <xdr:colOff>228600</xdr:colOff>
          <xdr:row>14</xdr:row>
          <xdr:rowOff>165100</xdr:rowOff>
        </xdr:to>
        <xdr:sp macro="" textlink="">
          <xdr:nvSpPr>
            <xdr:cNvPr id="1451" name="CheckBox9" hidden="1">
              <a:extLst>
                <a:ext uri="{63B3BB69-23CF-44E3-9099-C40C66FF867C}">
                  <a14:compatExt spid="_x0000_s1451"/>
                </a:ext>
                <a:ext uri="{FF2B5EF4-FFF2-40B4-BE49-F238E27FC236}">
                  <a16:creationId xmlns:a16="http://schemas.microsoft.com/office/drawing/2014/main" id="{00000000-0008-0000-0100-0000A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31750</xdr:rowOff>
        </xdr:from>
        <xdr:to>
          <xdr:col>2</xdr:col>
          <xdr:colOff>228600</xdr:colOff>
          <xdr:row>15</xdr:row>
          <xdr:rowOff>171450</xdr:rowOff>
        </xdr:to>
        <xdr:sp macro="" textlink="">
          <xdr:nvSpPr>
            <xdr:cNvPr id="1452" name="CheckBox10" hidden="1">
              <a:extLst>
                <a:ext uri="{63B3BB69-23CF-44E3-9099-C40C66FF867C}">
                  <a14:compatExt spid="_x0000_s1452"/>
                </a:ext>
                <a:ext uri="{FF2B5EF4-FFF2-40B4-BE49-F238E27FC236}">
                  <a16:creationId xmlns:a16="http://schemas.microsoft.com/office/drawing/2014/main" id="{00000000-0008-0000-0100-0000A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31750</xdr:rowOff>
        </xdr:from>
        <xdr:to>
          <xdr:col>2</xdr:col>
          <xdr:colOff>228600</xdr:colOff>
          <xdr:row>17</xdr:row>
          <xdr:rowOff>171450</xdr:rowOff>
        </xdr:to>
        <xdr:sp macro="" textlink="">
          <xdr:nvSpPr>
            <xdr:cNvPr id="1453" name="CheckBox11" hidden="1">
              <a:extLst>
                <a:ext uri="{63B3BB69-23CF-44E3-9099-C40C66FF867C}">
                  <a14:compatExt spid="_x0000_s1453"/>
                </a:ext>
                <a:ext uri="{FF2B5EF4-FFF2-40B4-BE49-F238E27FC236}">
                  <a16:creationId xmlns:a16="http://schemas.microsoft.com/office/drawing/2014/main" id="{00000000-0008-0000-0100-0000A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19050</xdr:rowOff>
        </xdr:from>
        <xdr:to>
          <xdr:col>2</xdr:col>
          <xdr:colOff>228600</xdr:colOff>
          <xdr:row>20</xdr:row>
          <xdr:rowOff>165100</xdr:rowOff>
        </xdr:to>
        <xdr:sp macro="" textlink="">
          <xdr:nvSpPr>
            <xdr:cNvPr id="1454" name="CheckBox12" hidden="1">
              <a:extLst>
                <a:ext uri="{63B3BB69-23CF-44E3-9099-C40C66FF867C}">
                  <a14:compatExt spid="_x0000_s1454"/>
                </a:ext>
                <a:ext uri="{FF2B5EF4-FFF2-40B4-BE49-F238E27FC236}">
                  <a16:creationId xmlns:a16="http://schemas.microsoft.com/office/drawing/2014/main" id="{00000000-0008-0000-0100-0000A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31750</xdr:rowOff>
        </xdr:from>
        <xdr:to>
          <xdr:col>2</xdr:col>
          <xdr:colOff>228600</xdr:colOff>
          <xdr:row>21</xdr:row>
          <xdr:rowOff>171450</xdr:rowOff>
        </xdr:to>
        <xdr:sp macro="" textlink="">
          <xdr:nvSpPr>
            <xdr:cNvPr id="1455" name="CheckBox13" hidden="1">
              <a:extLst>
                <a:ext uri="{63B3BB69-23CF-44E3-9099-C40C66FF867C}">
                  <a14:compatExt spid="_x0000_s1455"/>
                </a:ext>
                <a:ext uri="{FF2B5EF4-FFF2-40B4-BE49-F238E27FC236}">
                  <a16:creationId xmlns:a16="http://schemas.microsoft.com/office/drawing/2014/main" id="{00000000-0008-0000-0100-0000A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19050</xdr:rowOff>
        </xdr:from>
        <xdr:to>
          <xdr:col>2</xdr:col>
          <xdr:colOff>228600</xdr:colOff>
          <xdr:row>22</xdr:row>
          <xdr:rowOff>165100</xdr:rowOff>
        </xdr:to>
        <xdr:sp macro="" textlink="">
          <xdr:nvSpPr>
            <xdr:cNvPr id="1456" name="CheckBox14" hidden="1">
              <a:extLst>
                <a:ext uri="{63B3BB69-23CF-44E3-9099-C40C66FF867C}">
                  <a14:compatExt spid="_x0000_s1456"/>
                </a:ext>
                <a:ext uri="{FF2B5EF4-FFF2-40B4-BE49-F238E27FC236}">
                  <a16:creationId xmlns:a16="http://schemas.microsoft.com/office/drawing/2014/main" id="{00000000-0008-0000-0100-0000B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31750</xdr:rowOff>
        </xdr:from>
        <xdr:to>
          <xdr:col>2</xdr:col>
          <xdr:colOff>228600</xdr:colOff>
          <xdr:row>25</xdr:row>
          <xdr:rowOff>171450</xdr:rowOff>
        </xdr:to>
        <xdr:sp macro="" textlink="">
          <xdr:nvSpPr>
            <xdr:cNvPr id="1457" name="CheckBox15" hidden="1">
              <a:extLst>
                <a:ext uri="{63B3BB69-23CF-44E3-9099-C40C66FF867C}">
                  <a14:compatExt spid="_x0000_s1457"/>
                </a:ext>
                <a:ext uri="{FF2B5EF4-FFF2-40B4-BE49-F238E27FC236}">
                  <a16:creationId xmlns:a16="http://schemas.microsoft.com/office/drawing/2014/main" id="{00000000-0008-0000-0100-0000B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19050</xdr:rowOff>
        </xdr:from>
        <xdr:to>
          <xdr:col>2</xdr:col>
          <xdr:colOff>228600</xdr:colOff>
          <xdr:row>26</xdr:row>
          <xdr:rowOff>165100</xdr:rowOff>
        </xdr:to>
        <xdr:sp macro="" textlink="">
          <xdr:nvSpPr>
            <xdr:cNvPr id="1458" name="CheckBox16" hidden="1">
              <a:extLst>
                <a:ext uri="{63B3BB69-23CF-44E3-9099-C40C66FF867C}">
                  <a14:compatExt spid="_x0000_s1458"/>
                </a:ext>
                <a:ext uri="{FF2B5EF4-FFF2-40B4-BE49-F238E27FC236}">
                  <a16:creationId xmlns:a16="http://schemas.microsoft.com/office/drawing/2014/main" id="{00000000-0008-0000-0100-0000B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31750</xdr:rowOff>
        </xdr:from>
        <xdr:to>
          <xdr:col>2</xdr:col>
          <xdr:colOff>228600</xdr:colOff>
          <xdr:row>27</xdr:row>
          <xdr:rowOff>171450</xdr:rowOff>
        </xdr:to>
        <xdr:sp macro="" textlink="">
          <xdr:nvSpPr>
            <xdr:cNvPr id="1459" name="CheckBox17" hidden="1">
              <a:extLst>
                <a:ext uri="{63B3BB69-23CF-44E3-9099-C40C66FF867C}">
                  <a14:compatExt spid="_x0000_s1459"/>
                </a:ext>
                <a:ext uri="{FF2B5EF4-FFF2-40B4-BE49-F238E27FC236}">
                  <a16:creationId xmlns:a16="http://schemas.microsoft.com/office/drawing/2014/main" id="{00000000-0008-0000-0100-0000B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28</xdr:row>
          <xdr:rowOff>19050</xdr:rowOff>
        </xdr:from>
        <xdr:to>
          <xdr:col>2</xdr:col>
          <xdr:colOff>228600</xdr:colOff>
          <xdr:row>28</xdr:row>
          <xdr:rowOff>165100</xdr:rowOff>
        </xdr:to>
        <xdr:sp macro="" textlink="">
          <xdr:nvSpPr>
            <xdr:cNvPr id="1460" name="CheckBox18" hidden="1">
              <a:extLst>
                <a:ext uri="{63B3BB69-23CF-44E3-9099-C40C66FF867C}">
                  <a14:compatExt spid="_x0000_s1460"/>
                </a:ext>
                <a:ext uri="{FF2B5EF4-FFF2-40B4-BE49-F238E27FC236}">
                  <a16:creationId xmlns:a16="http://schemas.microsoft.com/office/drawing/2014/main" id="{00000000-0008-0000-0100-0000B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19050</xdr:rowOff>
        </xdr:from>
        <xdr:to>
          <xdr:col>2</xdr:col>
          <xdr:colOff>228600</xdr:colOff>
          <xdr:row>29</xdr:row>
          <xdr:rowOff>165100</xdr:rowOff>
        </xdr:to>
        <xdr:sp macro="" textlink="">
          <xdr:nvSpPr>
            <xdr:cNvPr id="1461" name="CheckBox19" hidden="1">
              <a:extLst>
                <a:ext uri="{63B3BB69-23CF-44E3-9099-C40C66FF867C}">
                  <a14:compatExt spid="_x0000_s1461"/>
                </a:ext>
                <a:ext uri="{FF2B5EF4-FFF2-40B4-BE49-F238E27FC236}">
                  <a16:creationId xmlns:a16="http://schemas.microsoft.com/office/drawing/2014/main" id="{00000000-0008-0000-0100-0000B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31750</xdr:rowOff>
        </xdr:from>
        <xdr:to>
          <xdr:col>2</xdr:col>
          <xdr:colOff>228600</xdr:colOff>
          <xdr:row>30</xdr:row>
          <xdr:rowOff>171450</xdr:rowOff>
        </xdr:to>
        <xdr:sp macro="" textlink="">
          <xdr:nvSpPr>
            <xdr:cNvPr id="1462" name="CheckBox20" hidden="1">
              <a:extLst>
                <a:ext uri="{63B3BB69-23CF-44E3-9099-C40C66FF867C}">
                  <a14:compatExt spid="_x0000_s1462"/>
                </a:ext>
                <a:ext uri="{FF2B5EF4-FFF2-40B4-BE49-F238E27FC236}">
                  <a16:creationId xmlns:a16="http://schemas.microsoft.com/office/drawing/2014/main" id="{00000000-0008-0000-0100-0000B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31</xdr:row>
          <xdr:rowOff>31750</xdr:rowOff>
        </xdr:from>
        <xdr:to>
          <xdr:col>2</xdr:col>
          <xdr:colOff>228600</xdr:colOff>
          <xdr:row>31</xdr:row>
          <xdr:rowOff>171450</xdr:rowOff>
        </xdr:to>
        <xdr:sp macro="" textlink="">
          <xdr:nvSpPr>
            <xdr:cNvPr id="1463" name="CheckBox21" hidden="1">
              <a:extLst>
                <a:ext uri="{63B3BB69-23CF-44E3-9099-C40C66FF867C}">
                  <a14:compatExt spid="_x0000_s1463"/>
                </a:ext>
                <a:ext uri="{FF2B5EF4-FFF2-40B4-BE49-F238E27FC236}">
                  <a16:creationId xmlns:a16="http://schemas.microsoft.com/office/drawing/2014/main" id="{00000000-0008-0000-0100-0000B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32</xdr:row>
          <xdr:rowOff>31750</xdr:rowOff>
        </xdr:from>
        <xdr:to>
          <xdr:col>2</xdr:col>
          <xdr:colOff>228600</xdr:colOff>
          <xdr:row>32</xdr:row>
          <xdr:rowOff>171450</xdr:rowOff>
        </xdr:to>
        <xdr:sp macro="" textlink="">
          <xdr:nvSpPr>
            <xdr:cNvPr id="1464" name="CheckBox22" hidden="1">
              <a:extLst>
                <a:ext uri="{63B3BB69-23CF-44E3-9099-C40C66FF867C}">
                  <a14:compatExt spid="_x0000_s1464"/>
                </a:ext>
                <a:ext uri="{FF2B5EF4-FFF2-40B4-BE49-F238E27FC236}">
                  <a16:creationId xmlns:a16="http://schemas.microsoft.com/office/drawing/2014/main" id="{00000000-0008-0000-0100-0000B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33</xdr:row>
          <xdr:rowOff>31750</xdr:rowOff>
        </xdr:from>
        <xdr:to>
          <xdr:col>2</xdr:col>
          <xdr:colOff>228600</xdr:colOff>
          <xdr:row>33</xdr:row>
          <xdr:rowOff>171450</xdr:rowOff>
        </xdr:to>
        <xdr:sp macro="" textlink="">
          <xdr:nvSpPr>
            <xdr:cNvPr id="1465" name="CheckBox23" hidden="1">
              <a:extLst>
                <a:ext uri="{63B3BB69-23CF-44E3-9099-C40C66FF867C}">
                  <a14:compatExt spid="_x0000_s1465"/>
                </a:ext>
                <a:ext uri="{FF2B5EF4-FFF2-40B4-BE49-F238E27FC236}">
                  <a16:creationId xmlns:a16="http://schemas.microsoft.com/office/drawing/2014/main" id="{00000000-0008-0000-0100-0000B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34</xdr:row>
          <xdr:rowOff>31750</xdr:rowOff>
        </xdr:from>
        <xdr:to>
          <xdr:col>2</xdr:col>
          <xdr:colOff>228600</xdr:colOff>
          <xdr:row>34</xdr:row>
          <xdr:rowOff>171450</xdr:rowOff>
        </xdr:to>
        <xdr:sp macro="" textlink="">
          <xdr:nvSpPr>
            <xdr:cNvPr id="1466" name="CheckBox24" hidden="1">
              <a:extLst>
                <a:ext uri="{63B3BB69-23CF-44E3-9099-C40C66FF867C}">
                  <a14:compatExt spid="_x0000_s1466"/>
                </a:ext>
                <a:ext uri="{FF2B5EF4-FFF2-40B4-BE49-F238E27FC236}">
                  <a16:creationId xmlns:a16="http://schemas.microsoft.com/office/drawing/2014/main" id="{00000000-0008-0000-0100-0000B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35</xdr:row>
          <xdr:rowOff>31750</xdr:rowOff>
        </xdr:from>
        <xdr:to>
          <xdr:col>2</xdr:col>
          <xdr:colOff>228600</xdr:colOff>
          <xdr:row>35</xdr:row>
          <xdr:rowOff>171450</xdr:rowOff>
        </xdr:to>
        <xdr:sp macro="" textlink="">
          <xdr:nvSpPr>
            <xdr:cNvPr id="1467" name="CheckBox25" hidden="1">
              <a:extLst>
                <a:ext uri="{63B3BB69-23CF-44E3-9099-C40C66FF867C}">
                  <a14:compatExt spid="_x0000_s1467"/>
                </a:ext>
                <a:ext uri="{FF2B5EF4-FFF2-40B4-BE49-F238E27FC236}">
                  <a16:creationId xmlns:a16="http://schemas.microsoft.com/office/drawing/2014/main" id="{00000000-0008-0000-0100-0000B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36</xdr:row>
          <xdr:rowOff>31750</xdr:rowOff>
        </xdr:from>
        <xdr:to>
          <xdr:col>2</xdr:col>
          <xdr:colOff>228600</xdr:colOff>
          <xdr:row>36</xdr:row>
          <xdr:rowOff>171450</xdr:rowOff>
        </xdr:to>
        <xdr:sp macro="" textlink="">
          <xdr:nvSpPr>
            <xdr:cNvPr id="1468" name="CheckBox26" hidden="1">
              <a:extLst>
                <a:ext uri="{63B3BB69-23CF-44E3-9099-C40C66FF867C}">
                  <a14:compatExt spid="_x0000_s1468"/>
                </a:ext>
                <a:ext uri="{FF2B5EF4-FFF2-40B4-BE49-F238E27FC236}">
                  <a16:creationId xmlns:a16="http://schemas.microsoft.com/office/drawing/2014/main" id="{00000000-0008-0000-0100-0000B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37</xdr:row>
          <xdr:rowOff>31750</xdr:rowOff>
        </xdr:from>
        <xdr:to>
          <xdr:col>2</xdr:col>
          <xdr:colOff>228600</xdr:colOff>
          <xdr:row>37</xdr:row>
          <xdr:rowOff>171450</xdr:rowOff>
        </xdr:to>
        <xdr:sp macro="" textlink="">
          <xdr:nvSpPr>
            <xdr:cNvPr id="1469" name="CheckBox27" hidden="1">
              <a:extLst>
                <a:ext uri="{63B3BB69-23CF-44E3-9099-C40C66FF867C}">
                  <a14:compatExt spid="_x0000_s1469"/>
                </a:ext>
                <a:ext uri="{FF2B5EF4-FFF2-40B4-BE49-F238E27FC236}">
                  <a16:creationId xmlns:a16="http://schemas.microsoft.com/office/drawing/2014/main" id="{00000000-0008-0000-0100-0000B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38</xdr:row>
          <xdr:rowOff>31750</xdr:rowOff>
        </xdr:from>
        <xdr:to>
          <xdr:col>2</xdr:col>
          <xdr:colOff>228600</xdr:colOff>
          <xdr:row>38</xdr:row>
          <xdr:rowOff>171450</xdr:rowOff>
        </xdr:to>
        <xdr:sp macro="" textlink="">
          <xdr:nvSpPr>
            <xdr:cNvPr id="1470" name="CheckBox28" hidden="1">
              <a:extLst>
                <a:ext uri="{63B3BB69-23CF-44E3-9099-C40C66FF867C}">
                  <a14:compatExt spid="_x0000_s1470"/>
                </a:ext>
                <a:ext uri="{FF2B5EF4-FFF2-40B4-BE49-F238E27FC236}">
                  <a16:creationId xmlns:a16="http://schemas.microsoft.com/office/drawing/2014/main" id="{00000000-0008-0000-0100-0000B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39</xdr:row>
          <xdr:rowOff>19050</xdr:rowOff>
        </xdr:from>
        <xdr:to>
          <xdr:col>2</xdr:col>
          <xdr:colOff>228600</xdr:colOff>
          <xdr:row>39</xdr:row>
          <xdr:rowOff>165100</xdr:rowOff>
        </xdr:to>
        <xdr:sp macro="" textlink="">
          <xdr:nvSpPr>
            <xdr:cNvPr id="1471" name="CheckBox29" hidden="1">
              <a:extLst>
                <a:ext uri="{63B3BB69-23CF-44E3-9099-C40C66FF867C}">
                  <a14:compatExt spid="_x0000_s1471"/>
                </a:ext>
                <a:ext uri="{FF2B5EF4-FFF2-40B4-BE49-F238E27FC236}">
                  <a16:creationId xmlns:a16="http://schemas.microsoft.com/office/drawing/2014/main" id="{00000000-0008-0000-0100-0000B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40</xdr:row>
          <xdr:rowOff>19050</xdr:rowOff>
        </xdr:from>
        <xdr:to>
          <xdr:col>2</xdr:col>
          <xdr:colOff>228600</xdr:colOff>
          <xdr:row>40</xdr:row>
          <xdr:rowOff>165100</xdr:rowOff>
        </xdr:to>
        <xdr:sp macro="" textlink="">
          <xdr:nvSpPr>
            <xdr:cNvPr id="1472" name="CheckBox30" hidden="1">
              <a:extLst>
                <a:ext uri="{63B3BB69-23CF-44E3-9099-C40C66FF867C}">
                  <a14:compatExt spid="_x0000_s1472"/>
                </a:ext>
                <a:ext uri="{FF2B5EF4-FFF2-40B4-BE49-F238E27FC236}">
                  <a16:creationId xmlns:a16="http://schemas.microsoft.com/office/drawing/2014/main" id="{00000000-0008-0000-0100-0000C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41</xdr:row>
          <xdr:rowOff>19050</xdr:rowOff>
        </xdr:from>
        <xdr:to>
          <xdr:col>2</xdr:col>
          <xdr:colOff>228600</xdr:colOff>
          <xdr:row>41</xdr:row>
          <xdr:rowOff>165100</xdr:rowOff>
        </xdr:to>
        <xdr:sp macro="" textlink="">
          <xdr:nvSpPr>
            <xdr:cNvPr id="1473" name="CheckBox31" hidden="1">
              <a:extLst>
                <a:ext uri="{63B3BB69-23CF-44E3-9099-C40C66FF867C}">
                  <a14:compatExt spid="_x0000_s1473"/>
                </a:ext>
                <a:ext uri="{FF2B5EF4-FFF2-40B4-BE49-F238E27FC236}">
                  <a16:creationId xmlns:a16="http://schemas.microsoft.com/office/drawing/2014/main" id="{00000000-0008-0000-0100-0000C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42</xdr:row>
          <xdr:rowOff>19050</xdr:rowOff>
        </xdr:from>
        <xdr:to>
          <xdr:col>2</xdr:col>
          <xdr:colOff>228600</xdr:colOff>
          <xdr:row>42</xdr:row>
          <xdr:rowOff>165100</xdr:rowOff>
        </xdr:to>
        <xdr:sp macro="" textlink="">
          <xdr:nvSpPr>
            <xdr:cNvPr id="1474" name="CheckBox32" hidden="1">
              <a:extLst>
                <a:ext uri="{63B3BB69-23CF-44E3-9099-C40C66FF867C}">
                  <a14:compatExt spid="_x0000_s1474"/>
                </a:ext>
                <a:ext uri="{FF2B5EF4-FFF2-40B4-BE49-F238E27FC236}">
                  <a16:creationId xmlns:a16="http://schemas.microsoft.com/office/drawing/2014/main" id="{00000000-0008-0000-0100-0000C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43</xdr:row>
          <xdr:rowOff>12700</xdr:rowOff>
        </xdr:from>
        <xdr:to>
          <xdr:col>2</xdr:col>
          <xdr:colOff>228600</xdr:colOff>
          <xdr:row>43</xdr:row>
          <xdr:rowOff>152400</xdr:rowOff>
        </xdr:to>
        <xdr:sp macro="" textlink="">
          <xdr:nvSpPr>
            <xdr:cNvPr id="1475" name="CheckBox33" hidden="1">
              <a:extLst>
                <a:ext uri="{63B3BB69-23CF-44E3-9099-C40C66FF867C}">
                  <a14:compatExt spid="_x0000_s1475"/>
                </a:ext>
                <a:ext uri="{FF2B5EF4-FFF2-40B4-BE49-F238E27FC236}">
                  <a16:creationId xmlns:a16="http://schemas.microsoft.com/office/drawing/2014/main" id="{00000000-0008-0000-0100-0000C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44</xdr:row>
          <xdr:rowOff>19050</xdr:rowOff>
        </xdr:from>
        <xdr:to>
          <xdr:col>2</xdr:col>
          <xdr:colOff>228600</xdr:colOff>
          <xdr:row>44</xdr:row>
          <xdr:rowOff>165100</xdr:rowOff>
        </xdr:to>
        <xdr:sp macro="" textlink="">
          <xdr:nvSpPr>
            <xdr:cNvPr id="1477" name="CheckBox34" hidden="1">
              <a:extLst>
                <a:ext uri="{63B3BB69-23CF-44E3-9099-C40C66FF867C}">
                  <a14:compatExt spid="_x0000_s1477"/>
                </a:ext>
                <a:ext uri="{FF2B5EF4-FFF2-40B4-BE49-F238E27FC236}">
                  <a16:creationId xmlns:a16="http://schemas.microsoft.com/office/drawing/2014/main" id="{00000000-0008-0000-0100-0000C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45</xdr:row>
          <xdr:rowOff>19050</xdr:rowOff>
        </xdr:from>
        <xdr:to>
          <xdr:col>2</xdr:col>
          <xdr:colOff>228600</xdr:colOff>
          <xdr:row>45</xdr:row>
          <xdr:rowOff>165100</xdr:rowOff>
        </xdr:to>
        <xdr:sp macro="" textlink="">
          <xdr:nvSpPr>
            <xdr:cNvPr id="1478" name="CheckBox35" hidden="1">
              <a:extLst>
                <a:ext uri="{63B3BB69-23CF-44E3-9099-C40C66FF867C}">
                  <a14:compatExt spid="_x0000_s1478"/>
                </a:ext>
                <a:ext uri="{FF2B5EF4-FFF2-40B4-BE49-F238E27FC236}">
                  <a16:creationId xmlns:a16="http://schemas.microsoft.com/office/drawing/2014/main" id="{00000000-0008-0000-0100-0000C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1703917</xdr:colOff>
      <xdr:row>0</xdr:row>
      <xdr:rowOff>52917</xdr:rowOff>
    </xdr:from>
    <xdr:to>
      <xdr:col>10</xdr:col>
      <xdr:colOff>70909</xdr:colOff>
      <xdr:row>2</xdr:row>
      <xdr:rowOff>146141</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536084" y="52917"/>
          <a:ext cx="695325" cy="5800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50800</xdr:rowOff>
        </xdr:from>
        <xdr:to>
          <xdr:col>3</xdr:col>
          <xdr:colOff>603250</xdr:colOff>
          <xdr:row>9</xdr:row>
          <xdr:rowOff>88900</xdr:rowOff>
        </xdr:to>
        <xdr:sp macro="" textlink="">
          <xdr:nvSpPr>
            <xdr:cNvPr id="35843" name="List Box 3" hidden="1">
              <a:extLst>
                <a:ext uri="{63B3BB69-23CF-44E3-9099-C40C66FF867C}">
                  <a14:compatExt spid="_x0000_s35843"/>
                </a:ext>
                <a:ext uri="{FF2B5EF4-FFF2-40B4-BE49-F238E27FC236}">
                  <a16:creationId xmlns:a16="http://schemas.microsoft.com/office/drawing/2014/main" id="{00000000-0008-0000-0200-000003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9525</xdr:colOff>
      <xdr:row>0</xdr:row>
      <xdr:rowOff>57150</xdr:rowOff>
    </xdr:from>
    <xdr:to>
      <xdr:col>5</xdr:col>
      <xdr:colOff>704850</xdr:colOff>
      <xdr:row>2</xdr:row>
      <xdr:rowOff>151432</xdr:rowOff>
    </xdr:to>
    <xdr:pic>
      <xdr:nvPicPr>
        <xdr:cNvPr id="2" name="Afbeelding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72875" y="57150"/>
          <a:ext cx="695325" cy="5800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41910</xdr:colOff>
      <xdr:row>0</xdr:row>
      <xdr:rowOff>22860</xdr:rowOff>
    </xdr:from>
    <xdr:to>
      <xdr:col>6</xdr:col>
      <xdr:colOff>15240</xdr:colOff>
      <xdr:row>2</xdr:row>
      <xdr:rowOff>98092</xdr:rowOff>
    </xdr:to>
    <xdr:pic>
      <xdr:nvPicPr>
        <xdr:cNvPr id="2" name="Afbeelding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71360" y="22860"/>
          <a:ext cx="695325" cy="5800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19050</xdr:colOff>
      <xdr:row>0</xdr:row>
      <xdr:rowOff>19050</xdr:rowOff>
    </xdr:from>
    <xdr:to>
      <xdr:col>6</xdr:col>
      <xdr:colOff>0</xdr:colOff>
      <xdr:row>2</xdr:row>
      <xdr:rowOff>94282</xdr:rowOff>
    </xdr:to>
    <xdr:pic>
      <xdr:nvPicPr>
        <xdr:cNvPr id="3" name="Afbeelding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67600" y="19050"/>
          <a:ext cx="695325" cy="5800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7620</xdr:colOff>
      <xdr:row>0</xdr:row>
      <xdr:rowOff>40005</xdr:rowOff>
    </xdr:from>
    <xdr:to>
      <xdr:col>5</xdr:col>
      <xdr:colOff>706755</xdr:colOff>
      <xdr:row>2</xdr:row>
      <xdr:rowOff>134287</xdr:rowOff>
    </xdr:to>
    <xdr:pic>
      <xdr:nvPicPr>
        <xdr:cNvPr id="2" name="Afbeelding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7545" y="40005"/>
          <a:ext cx="695325" cy="5800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9525</xdr:colOff>
      <xdr:row>0</xdr:row>
      <xdr:rowOff>38100</xdr:rowOff>
    </xdr:from>
    <xdr:to>
      <xdr:col>5</xdr:col>
      <xdr:colOff>701040</xdr:colOff>
      <xdr:row>2</xdr:row>
      <xdr:rowOff>130477</xdr:rowOff>
    </xdr:to>
    <xdr:pic>
      <xdr:nvPicPr>
        <xdr:cNvPr id="2" name="Afbeelding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10400" y="38100"/>
          <a:ext cx="695325" cy="5800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9525</xdr:colOff>
      <xdr:row>0</xdr:row>
      <xdr:rowOff>28575</xdr:rowOff>
    </xdr:from>
    <xdr:to>
      <xdr:col>5</xdr:col>
      <xdr:colOff>704850</xdr:colOff>
      <xdr:row>2</xdr:row>
      <xdr:rowOff>113332</xdr:rowOff>
    </xdr:to>
    <xdr:pic>
      <xdr:nvPicPr>
        <xdr:cNvPr id="2" name="Afbeelding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19975" y="28575"/>
          <a:ext cx="695325" cy="5800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800-000008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0</xdr:rowOff>
    </xdr:from>
    <xdr:to>
      <xdr:col>5</xdr:col>
      <xdr:colOff>701040</xdr:colOff>
      <xdr:row>2</xdr:row>
      <xdr:rowOff>96187</xdr:rowOff>
    </xdr:to>
    <xdr:pic>
      <xdr:nvPicPr>
        <xdr:cNvPr id="2" name="Afbeelding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19925" y="0"/>
          <a:ext cx="695325" cy="58005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38100</xdr:rowOff>
    </xdr:from>
    <xdr:to>
      <xdr:col>5</xdr:col>
      <xdr:colOff>701040</xdr:colOff>
      <xdr:row>2</xdr:row>
      <xdr:rowOff>134287</xdr:rowOff>
    </xdr:to>
    <xdr:pic>
      <xdr:nvPicPr>
        <xdr:cNvPr id="2" name="Afbeelding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38100"/>
          <a:ext cx="695325" cy="5800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A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704850</xdr:colOff>
      <xdr:row>2</xdr:row>
      <xdr:rowOff>136192</xdr:rowOff>
    </xdr:to>
    <xdr:pic>
      <xdr:nvPicPr>
        <xdr:cNvPr id="2" name="Afbeelding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47625"/>
          <a:ext cx="695325" cy="5800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704850</xdr:colOff>
      <xdr:row>2</xdr:row>
      <xdr:rowOff>136192</xdr:rowOff>
    </xdr:to>
    <xdr:pic>
      <xdr:nvPicPr>
        <xdr:cNvPr id="2" name="Afbeelding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10375" y="47625"/>
          <a:ext cx="695325" cy="5800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C00-000006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66675</xdr:rowOff>
    </xdr:from>
    <xdr:to>
      <xdr:col>5</xdr:col>
      <xdr:colOff>701040</xdr:colOff>
      <xdr:row>2</xdr:row>
      <xdr:rowOff>151432</xdr:rowOff>
    </xdr:to>
    <xdr:pic>
      <xdr:nvPicPr>
        <xdr:cNvPr id="3" name="Afbeelding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1375" y="66675"/>
          <a:ext cx="695325" cy="5800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D00-00000B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4</xdr:col>
      <xdr:colOff>819150</xdr:colOff>
      <xdr:row>0</xdr:row>
      <xdr:rowOff>66675</xdr:rowOff>
    </xdr:from>
    <xdr:to>
      <xdr:col>5</xdr:col>
      <xdr:colOff>685800</xdr:colOff>
      <xdr:row>2</xdr:row>
      <xdr:rowOff>151432</xdr:rowOff>
    </xdr:to>
    <xdr:pic>
      <xdr:nvPicPr>
        <xdr:cNvPr id="2" name="Afbeelding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67525" y="66675"/>
          <a:ext cx="695325" cy="5800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66675</xdr:rowOff>
    </xdr:from>
    <xdr:to>
      <xdr:col>5</xdr:col>
      <xdr:colOff>701040</xdr:colOff>
      <xdr:row>3</xdr:row>
      <xdr:rowOff>937</xdr:rowOff>
    </xdr:to>
    <xdr:pic>
      <xdr:nvPicPr>
        <xdr:cNvPr id="2" name="Afbeelding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66675"/>
          <a:ext cx="695325" cy="5800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F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9525</xdr:colOff>
      <xdr:row>0</xdr:row>
      <xdr:rowOff>95250</xdr:rowOff>
    </xdr:from>
    <xdr:to>
      <xdr:col>5</xdr:col>
      <xdr:colOff>701040</xdr:colOff>
      <xdr:row>3</xdr:row>
      <xdr:rowOff>18082</xdr:rowOff>
    </xdr:to>
    <xdr:pic>
      <xdr:nvPicPr>
        <xdr:cNvPr id="2" name="Afbeelding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53250" y="95250"/>
          <a:ext cx="695325" cy="5800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1000-000005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76200</xdr:rowOff>
    </xdr:from>
    <xdr:to>
      <xdr:col>5</xdr:col>
      <xdr:colOff>704850</xdr:colOff>
      <xdr:row>3</xdr:row>
      <xdr:rowOff>937</xdr:rowOff>
    </xdr:to>
    <xdr:pic>
      <xdr:nvPicPr>
        <xdr:cNvPr id="2" name="Afbeelding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00875" y="76200"/>
          <a:ext cx="695325" cy="5800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1100-000005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95250</xdr:rowOff>
    </xdr:from>
    <xdr:to>
      <xdr:col>5</xdr:col>
      <xdr:colOff>704850</xdr:colOff>
      <xdr:row>3</xdr:row>
      <xdr:rowOff>18082</xdr:rowOff>
    </xdr:to>
    <xdr:pic>
      <xdr:nvPicPr>
        <xdr:cNvPr id="2" name="Afbeelding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95250"/>
          <a:ext cx="695325" cy="5800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1200-000008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57150</xdr:rowOff>
    </xdr:from>
    <xdr:to>
      <xdr:col>5</xdr:col>
      <xdr:colOff>704850</xdr:colOff>
      <xdr:row>2</xdr:row>
      <xdr:rowOff>132382</xdr:rowOff>
    </xdr:to>
    <xdr:pic>
      <xdr:nvPicPr>
        <xdr:cNvPr id="2" name="Afbeelding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57150"/>
          <a:ext cx="695325" cy="5800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1300-000008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66675</xdr:rowOff>
    </xdr:from>
    <xdr:to>
      <xdr:col>5</xdr:col>
      <xdr:colOff>704850</xdr:colOff>
      <xdr:row>2</xdr:row>
      <xdr:rowOff>151432</xdr:rowOff>
    </xdr:to>
    <xdr:pic>
      <xdr:nvPicPr>
        <xdr:cNvPr id="2" name="Afbeelding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66675"/>
          <a:ext cx="695325" cy="5800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1400-000005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95250</xdr:rowOff>
    </xdr:from>
    <xdr:to>
      <xdr:col>5</xdr:col>
      <xdr:colOff>704850</xdr:colOff>
      <xdr:row>3</xdr:row>
      <xdr:rowOff>21892</xdr:rowOff>
    </xdr:to>
    <xdr:pic>
      <xdr:nvPicPr>
        <xdr:cNvPr id="2" name="Afbeelding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95250"/>
          <a:ext cx="695325" cy="5800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1500-00001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4</xdr:col>
      <xdr:colOff>847725</xdr:colOff>
      <xdr:row>0</xdr:row>
      <xdr:rowOff>85725</xdr:rowOff>
    </xdr:from>
    <xdr:to>
      <xdr:col>5</xdr:col>
      <xdr:colOff>685800</xdr:colOff>
      <xdr:row>3</xdr:row>
      <xdr:rowOff>16177</xdr:rowOff>
    </xdr:to>
    <xdr:pic>
      <xdr:nvPicPr>
        <xdr:cNvPr id="2" name="Afbeelding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5725"/>
          <a:ext cx="695325" cy="58005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1600-000005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4</xdr:col>
      <xdr:colOff>857250</xdr:colOff>
      <xdr:row>0</xdr:row>
      <xdr:rowOff>104775</xdr:rowOff>
    </xdr:from>
    <xdr:to>
      <xdr:col>5</xdr:col>
      <xdr:colOff>685800</xdr:colOff>
      <xdr:row>3</xdr:row>
      <xdr:rowOff>37132</xdr:rowOff>
    </xdr:to>
    <xdr:pic>
      <xdr:nvPicPr>
        <xdr:cNvPr id="2" name="Afbeelding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5625" y="104775"/>
          <a:ext cx="695325" cy="58005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1700-00000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19050</xdr:colOff>
      <xdr:row>0</xdr:row>
      <xdr:rowOff>76200</xdr:rowOff>
    </xdr:from>
    <xdr:to>
      <xdr:col>6</xdr:col>
      <xdr:colOff>0</xdr:colOff>
      <xdr:row>3</xdr:row>
      <xdr:rowOff>19987</xdr:rowOff>
    </xdr:to>
    <xdr:pic>
      <xdr:nvPicPr>
        <xdr:cNvPr id="2" name="Afbeelding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00" y="76200"/>
          <a:ext cx="695325" cy="5800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57150</xdr:rowOff>
    </xdr:from>
    <xdr:to>
      <xdr:col>5</xdr:col>
      <xdr:colOff>704850</xdr:colOff>
      <xdr:row>2</xdr:row>
      <xdr:rowOff>151432</xdr:rowOff>
    </xdr:to>
    <xdr:pic>
      <xdr:nvPicPr>
        <xdr:cNvPr id="2" name="Afbeelding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29425" y="57150"/>
          <a:ext cx="695325" cy="58005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1900-000008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66675</xdr:rowOff>
    </xdr:from>
    <xdr:to>
      <xdr:col>5</xdr:col>
      <xdr:colOff>701040</xdr:colOff>
      <xdr:row>2</xdr:row>
      <xdr:rowOff>151432</xdr:rowOff>
    </xdr:to>
    <xdr:pic>
      <xdr:nvPicPr>
        <xdr:cNvPr id="2" name="Afbeelding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58075" y="66675"/>
          <a:ext cx="695325" cy="58005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A00-000001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701040</xdr:colOff>
      <xdr:row>2</xdr:row>
      <xdr:rowOff>132382</xdr:rowOff>
    </xdr:to>
    <xdr:pic>
      <xdr:nvPicPr>
        <xdr:cNvPr id="2" name="Afbeelding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58075" y="47625"/>
          <a:ext cx="695325" cy="58005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1B00-000008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704850</xdr:colOff>
      <xdr:row>2</xdr:row>
      <xdr:rowOff>136192</xdr:rowOff>
    </xdr:to>
    <xdr:pic>
      <xdr:nvPicPr>
        <xdr:cNvPr id="2" name="Afbeelding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47625"/>
          <a:ext cx="695325" cy="580057"/>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1C00-000005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701040</xdr:colOff>
      <xdr:row>2</xdr:row>
      <xdr:rowOff>132382</xdr:rowOff>
    </xdr:to>
    <xdr:pic>
      <xdr:nvPicPr>
        <xdr:cNvPr id="2" name="Afbeelding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47625"/>
          <a:ext cx="695325" cy="580057"/>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1403350</xdr:colOff>
          <xdr:row>3</xdr:row>
          <xdr:rowOff>228600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1D00-000008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704850</xdr:colOff>
      <xdr:row>2</xdr:row>
      <xdr:rowOff>136192</xdr:rowOff>
    </xdr:to>
    <xdr:pic>
      <xdr:nvPicPr>
        <xdr:cNvPr id="2" name="Afbeelding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67550" y="47625"/>
          <a:ext cx="695325" cy="580057"/>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1E00-000005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76200</xdr:rowOff>
    </xdr:from>
    <xdr:to>
      <xdr:col>5</xdr:col>
      <xdr:colOff>701040</xdr:colOff>
      <xdr:row>3</xdr:row>
      <xdr:rowOff>937</xdr:rowOff>
    </xdr:to>
    <xdr:pic>
      <xdr:nvPicPr>
        <xdr:cNvPr id="2" name="Afbeelding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76200"/>
          <a:ext cx="695325" cy="580057"/>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1F00-000005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47625</xdr:rowOff>
    </xdr:from>
    <xdr:to>
      <xdr:col>5</xdr:col>
      <xdr:colOff>704850</xdr:colOff>
      <xdr:row>2</xdr:row>
      <xdr:rowOff>136192</xdr:rowOff>
    </xdr:to>
    <xdr:pic>
      <xdr:nvPicPr>
        <xdr:cNvPr id="2" name="Afbeelding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8500" y="47625"/>
          <a:ext cx="695325" cy="580057"/>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614273" name="Button 1" hidden="1">
              <a:extLst>
                <a:ext uri="{63B3BB69-23CF-44E3-9099-C40C66FF867C}">
                  <a14:compatExt spid="_x0000_s2614273"/>
                </a:ext>
                <a:ext uri="{FF2B5EF4-FFF2-40B4-BE49-F238E27FC236}">
                  <a16:creationId xmlns:a16="http://schemas.microsoft.com/office/drawing/2014/main" id="{00000000-0008-0000-2000-000001E42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9525</xdr:colOff>
      <xdr:row>0</xdr:row>
      <xdr:rowOff>85725</xdr:rowOff>
    </xdr:from>
    <xdr:to>
      <xdr:col>5</xdr:col>
      <xdr:colOff>704850</xdr:colOff>
      <xdr:row>3</xdr:row>
      <xdr:rowOff>19987</xdr:rowOff>
    </xdr:to>
    <xdr:pic>
      <xdr:nvPicPr>
        <xdr:cNvPr id="2" name="Afbeelding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57975" y="85725"/>
          <a:ext cx="695325" cy="580057"/>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2100-000005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66675</xdr:rowOff>
    </xdr:from>
    <xdr:to>
      <xdr:col>5</xdr:col>
      <xdr:colOff>704850</xdr:colOff>
      <xdr:row>2</xdr:row>
      <xdr:rowOff>151432</xdr:rowOff>
    </xdr:to>
    <xdr:pic>
      <xdr:nvPicPr>
        <xdr:cNvPr id="2" name="Afbeelding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38950" y="66675"/>
          <a:ext cx="695325" cy="580057"/>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34824" name="Button 8" hidden="1">
              <a:extLst>
                <a:ext uri="{63B3BB69-23CF-44E3-9099-C40C66FF867C}">
                  <a14:compatExt spid="_x0000_s34824"/>
                </a:ext>
                <a:ext uri="{FF2B5EF4-FFF2-40B4-BE49-F238E27FC236}">
                  <a16:creationId xmlns:a16="http://schemas.microsoft.com/office/drawing/2014/main" id="{00000000-0008-0000-2200-000008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95250</xdr:rowOff>
    </xdr:from>
    <xdr:to>
      <xdr:col>5</xdr:col>
      <xdr:colOff>704850</xdr:colOff>
      <xdr:row>3</xdr:row>
      <xdr:rowOff>21892</xdr:rowOff>
    </xdr:to>
    <xdr:pic>
      <xdr:nvPicPr>
        <xdr:cNvPr id="2" name="Afbeelding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48450" y="95250"/>
          <a:ext cx="695325" cy="580057"/>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2300-000005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85725</xdr:rowOff>
    </xdr:from>
    <xdr:to>
      <xdr:col>5</xdr:col>
      <xdr:colOff>704850</xdr:colOff>
      <xdr:row>3</xdr:row>
      <xdr:rowOff>16177</xdr:rowOff>
    </xdr:to>
    <xdr:pic>
      <xdr:nvPicPr>
        <xdr:cNvPr id="2" name="Afbeelding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85725"/>
          <a:ext cx="695325" cy="580057"/>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2400-000005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0</xdr:colOff>
      <xdr:row>0</xdr:row>
      <xdr:rowOff>76200</xdr:rowOff>
    </xdr:from>
    <xdr:to>
      <xdr:col>5</xdr:col>
      <xdr:colOff>704850</xdr:colOff>
      <xdr:row>3</xdr:row>
      <xdr:rowOff>16177</xdr:rowOff>
    </xdr:to>
    <xdr:pic>
      <xdr:nvPicPr>
        <xdr:cNvPr id="2" name="Afbeelding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0" y="76200"/>
          <a:ext cx="695325" cy="580057"/>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1390650</xdr:colOff>
          <xdr:row>3</xdr:row>
          <xdr:rowOff>228600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2500-000008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Terug naar hoofdmenu</a:t>
              </a:r>
            </a:p>
          </xdr:txBody>
        </xdr:sp>
        <xdr:clientData fPrintsWithSheet="0"/>
      </xdr:twoCellAnchor>
    </mc:Choice>
    <mc:Fallback/>
  </mc:AlternateContent>
  <xdr:twoCellAnchor editAs="oneCell">
    <xdr:from>
      <xdr:col>5</xdr:col>
      <xdr:colOff>19050</xdr:colOff>
      <xdr:row>0</xdr:row>
      <xdr:rowOff>66675</xdr:rowOff>
    </xdr:from>
    <xdr:to>
      <xdr:col>6</xdr:col>
      <xdr:colOff>0</xdr:colOff>
      <xdr:row>3</xdr:row>
      <xdr:rowOff>937</xdr:rowOff>
    </xdr:to>
    <xdr:pic>
      <xdr:nvPicPr>
        <xdr:cNvPr id="2" name="Afbeelding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48475" y="66675"/>
          <a:ext cx="695325" cy="580057"/>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marketing@sra.nl" TargetMode="External"/><Relationship Id="rId2" Type="http://schemas.openxmlformats.org/officeDocument/2006/relationships/hyperlink" Target="http://www.sra.nl/" TargetMode="External"/><Relationship Id="rId1" Type="http://schemas.openxmlformats.org/officeDocument/2006/relationships/printerSettings" Target="../printerSettings/printerSettings1.bin"/><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2.xml.rels><?xml version="1.0" encoding="UTF-8" standalone="yes"?>
<Relationships xmlns="http://schemas.openxmlformats.org/package/2006/relationships"><Relationship Id="rId26" Type="http://schemas.openxmlformats.org/officeDocument/2006/relationships/image" Target="../media/image12.emf"/><Relationship Id="rId21" Type="http://schemas.openxmlformats.org/officeDocument/2006/relationships/control" Target="../activeX/activeX9.xml"/><Relationship Id="rId42" Type="http://schemas.openxmlformats.org/officeDocument/2006/relationships/image" Target="../media/image20.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3.emf"/><Relationship Id="rId2" Type="http://schemas.openxmlformats.org/officeDocument/2006/relationships/printerSettings" Target="../printerSettings/printerSettings4.bin"/><Relationship Id="rId16" Type="http://schemas.openxmlformats.org/officeDocument/2006/relationships/image" Target="../media/image7.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45" Type="http://schemas.openxmlformats.org/officeDocument/2006/relationships/control" Target="../activeX/activeX21.xml"/><Relationship Id="rId53" Type="http://schemas.openxmlformats.org/officeDocument/2006/relationships/control" Target="../activeX/activeX25.xml"/><Relationship Id="rId58" Type="http://schemas.openxmlformats.org/officeDocument/2006/relationships/image" Target="../media/image28.emf"/><Relationship Id="rId66" Type="http://schemas.openxmlformats.org/officeDocument/2006/relationships/image" Target="../media/image32.emf"/><Relationship Id="rId74" Type="http://schemas.openxmlformats.org/officeDocument/2006/relationships/image" Target="../media/image36.emf"/><Relationship Id="rId5" Type="http://schemas.openxmlformats.org/officeDocument/2006/relationships/control" Target="../activeX/activeX1.xml"/><Relationship Id="rId61" Type="http://schemas.openxmlformats.org/officeDocument/2006/relationships/control" Target="../activeX/activeX29.xml"/><Relationship Id="rId19" Type="http://schemas.openxmlformats.org/officeDocument/2006/relationships/control" Target="../activeX/activeX8.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3.emf"/><Relationship Id="rId56" Type="http://schemas.openxmlformats.org/officeDocument/2006/relationships/image" Target="../media/image27.emf"/><Relationship Id="rId64" Type="http://schemas.openxmlformats.org/officeDocument/2006/relationships/image" Target="../media/image31.emf"/><Relationship Id="rId69" Type="http://schemas.openxmlformats.org/officeDocument/2006/relationships/control" Target="../activeX/activeX33.xml"/><Relationship Id="rId8" Type="http://schemas.openxmlformats.org/officeDocument/2006/relationships/image" Target="../media/image3.emf"/><Relationship Id="rId51" Type="http://schemas.openxmlformats.org/officeDocument/2006/relationships/control" Target="../activeX/activeX24.xml"/><Relationship Id="rId72" Type="http://schemas.openxmlformats.org/officeDocument/2006/relationships/image" Target="../media/image35.emf"/><Relationship Id="rId3" Type="http://schemas.openxmlformats.org/officeDocument/2006/relationships/drawing" Target="../drawings/drawing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46" Type="http://schemas.openxmlformats.org/officeDocument/2006/relationships/image" Target="../media/image22.emf"/><Relationship Id="rId59" Type="http://schemas.openxmlformats.org/officeDocument/2006/relationships/control" Target="../activeX/activeX28.xml"/><Relationship Id="rId67" Type="http://schemas.openxmlformats.org/officeDocument/2006/relationships/control" Target="../activeX/activeX32.xml"/><Relationship Id="rId20" Type="http://schemas.openxmlformats.org/officeDocument/2006/relationships/image" Target="../media/image9.emf"/><Relationship Id="rId41" Type="http://schemas.openxmlformats.org/officeDocument/2006/relationships/control" Target="../activeX/activeX19.xml"/><Relationship Id="rId54" Type="http://schemas.openxmlformats.org/officeDocument/2006/relationships/image" Target="../media/image26.emf"/><Relationship Id="rId62" Type="http://schemas.openxmlformats.org/officeDocument/2006/relationships/image" Target="../media/image30.emf"/><Relationship Id="rId70" Type="http://schemas.openxmlformats.org/officeDocument/2006/relationships/image" Target="../media/image34.emf"/><Relationship Id="rId1" Type="http://schemas.openxmlformats.org/officeDocument/2006/relationships/printerSettings" Target="../printerSettings/printerSettings3.bin"/><Relationship Id="rId6" Type="http://schemas.openxmlformats.org/officeDocument/2006/relationships/image" Target="../media/image2.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49" Type="http://schemas.openxmlformats.org/officeDocument/2006/relationships/control" Target="../activeX/activeX23.xml"/><Relationship Id="rId57" Type="http://schemas.openxmlformats.org/officeDocument/2006/relationships/control" Target="../activeX/activeX27.xml"/><Relationship Id="rId10" Type="http://schemas.openxmlformats.org/officeDocument/2006/relationships/image" Target="../media/image4.emf"/><Relationship Id="rId31" Type="http://schemas.openxmlformats.org/officeDocument/2006/relationships/control" Target="../activeX/activeX14.xml"/><Relationship Id="rId44" Type="http://schemas.openxmlformats.org/officeDocument/2006/relationships/image" Target="../media/image21.emf"/><Relationship Id="rId52" Type="http://schemas.openxmlformats.org/officeDocument/2006/relationships/image" Target="../media/image25.emf"/><Relationship Id="rId60" Type="http://schemas.openxmlformats.org/officeDocument/2006/relationships/image" Target="../media/image29.emf"/><Relationship Id="rId65" Type="http://schemas.openxmlformats.org/officeDocument/2006/relationships/control" Target="../activeX/activeX31.xml"/><Relationship Id="rId73" Type="http://schemas.openxmlformats.org/officeDocument/2006/relationships/control" Target="../activeX/activeX35.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8.emf"/><Relationship Id="rId39" Type="http://schemas.openxmlformats.org/officeDocument/2006/relationships/control" Target="../activeX/activeX18.xml"/><Relationship Id="rId34" Type="http://schemas.openxmlformats.org/officeDocument/2006/relationships/image" Target="../media/image16.emf"/><Relationship Id="rId50" Type="http://schemas.openxmlformats.org/officeDocument/2006/relationships/image" Target="../media/image24.emf"/><Relationship Id="rId55" Type="http://schemas.openxmlformats.org/officeDocument/2006/relationships/control" Target="../activeX/activeX26.xml"/><Relationship Id="rId7" Type="http://schemas.openxmlformats.org/officeDocument/2006/relationships/control" Target="../activeX/activeX2.xml"/><Relationship Id="rId71" Type="http://schemas.openxmlformats.org/officeDocument/2006/relationships/control" Target="../activeX/activeX34.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5" Type="http://schemas.openxmlformats.org/officeDocument/2006/relationships/ctrlProp" Target="../ctrlProps/ctrlProp4.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trlProp" Target="../ctrlProps/ctrlProp6.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ctrlProp" Target="../ctrlProps/ctrlProp7.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ctrlProp" Target="../ctrlProps/ctrlProp9.xm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ctrlProp" Target="../ctrlProps/ctrlProp10.x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5" Type="http://schemas.openxmlformats.org/officeDocument/2006/relationships/ctrlProp" Target="../ctrlProps/ctrlProp11.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5" Type="http://schemas.openxmlformats.org/officeDocument/2006/relationships/ctrlProp" Target="../ctrlProps/ctrlProp12.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5" Type="http://schemas.openxmlformats.org/officeDocument/2006/relationships/ctrlProp" Target="../ctrlProps/ctrlProp13.x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ctrlProp" Target="../ctrlProps/ctrlProp14.xm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5" Type="http://schemas.openxmlformats.org/officeDocument/2006/relationships/ctrlProp" Target="../ctrlProps/ctrlProp15.xml"/><Relationship Id="rId4"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5" Type="http://schemas.openxmlformats.org/officeDocument/2006/relationships/ctrlProp" Target="../ctrlProps/ctrlProp16.x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5" Type="http://schemas.openxmlformats.org/officeDocument/2006/relationships/ctrlProp" Target="../ctrlProps/ctrlProp17.xml"/><Relationship Id="rId4"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5" Type="http://schemas.openxmlformats.org/officeDocument/2006/relationships/ctrlProp" Target="../ctrlProps/ctrlProp18.xml"/><Relationship Id="rId4"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5" Type="http://schemas.openxmlformats.org/officeDocument/2006/relationships/ctrlProp" Target="../ctrlProps/ctrlProp19.xm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5" Type="http://schemas.openxmlformats.org/officeDocument/2006/relationships/ctrlProp" Target="../ctrlProps/ctrlProp20.xml"/><Relationship Id="rId4"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5" Type="http://schemas.openxmlformats.org/officeDocument/2006/relationships/ctrlProp" Target="../ctrlProps/ctrlProp21.xml"/><Relationship Id="rId4"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5" Type="http://schemas.openxmlformats.org/officeDocument/2006/relationships/ctrlProp" Target="../ctrlProps/ctrlProp22.xml"/><Relationship Id="rId4"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5" Type="http://schemas.openxmlformats.org/officeDocument/2006/relationships/ctrlProp" Target="../ctrlProps/ctrlProp23.xml"/><Relationship Id="rId4"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5" Type="http://schemas.openxmlformats.org/officeDocument/2006/relationships/ctrlProp" Target="../ctrlProps/ctrlProp24.xml"/><Relationship Id="rId4"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 Id="rId5" Type="http://schemas.openxmlformats.org/officeDocument/2006/relationships/ctrlProp" Target="../ctrlProps/ctrlProp25.xml"/><Relationship Id="rId4"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ctrlProp" Target="../ctrlProps/ctrlProp26.xml"/><Relationship Id="rId4"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5" Type="http://schemas.openxmlformats.org/officeDocument/2006/relationships/ctrlProp" Target="../ctrlProps/ctrlProp27.xml"/><Relationship Id="rId4"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5" Type="http://schemas.openxmlformats.org/officeDocument/2006/relationships/ctrlProp" Target="../ctrlProps/ctrlProp28.xml"/><Relationship Id="rId4"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5" Type="http://schemas.openxmlformats.org/officeDocument/2006/relationships/ctrlProp" Target="../ctrlProps/ctrlProp29.xml"/><Relationship Id="rId4"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 Id="rId5" Type="http://schemas.openxmlformats.org/officeDocument/2006/relationships/ctrlProp" Target="../ctrlProps/ctrlProp30.xml"/><Relationship Id="rId4"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32.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5" Type="http://schemas.openxmlformats.org/officeDocument/2006/relationships/ctrlProp" Target="../ctrlProps/ctrlProp32.xml"/><Relationship Id="rId4"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5" Type="http://schemas.openxmlformats.org/officeDocument/2006/relationships/ctrlProp" Target="../ctrlProps/ctrlProp33.xml"/><Relationship Id="rId4"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 Id="rId5" Type="http://schemas.openxmlformats.org/officeDocument/2006/relationships/ctrlProp" Target="../ctrlProps/ctrlProp34.xml"/><Relationship Id="rId4"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5" Type="http://schemas.openxmlformats.org/officeDocument/2006/relationships/ctrlProp" Target="../ctrlProps/ctrlProp35.xml"/><Relationship Id="rId4"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5" Type="http://schemas.openxmlformats.org/officeDocument/2006/relationships/ctrlProp" Target="../ctrlProps/ctrlProp36.xml"/><Relationship Id="rId4" Type="http://schemas.openxmlformats.org/officeDocument/2006/relationships/vmlDrawing" Target="../drawings/vmlDrawing3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4">
    <tabColor theme="7" tint="0.39997558519241921"/>
    <pageSetUpPr fitToPage="1"/>
  </sheetPr>
  <dimension ref="A1:G25"/>
  <sheetViews>
    <sheetView showGridLines="0" zoomScaleNormal="100" workbookViewId="0">
      <selection activeCell="A5" sqref="A5:XFD5"/>
    </sheetView>
  </sheetViews>
  <sheetFormatPr defaultColWidth="9.1796875" defaultRowHeight="12.5" x14ac:dyDescent="0.25"/>
  <cols>
    <col min="1" max="1" width="60.7265625" style="1" customWidth="1"/>
    <col min="2" max="6" width="10.7265625" style="1" customWidth="1"/>
    <col min="7" max="7" width="12.26953125" style="1" customWidth="1"/>
    <col min="8" max="16384" width="9.1796875" style="1"/>
  </cols>
  <sheetData>
    <row r="1" spans="1:7" s="44" customFormat="1" ht="22.5" x14ac:dyDescent="0.25">
      <c r="A1" s="183" t="s">
        <v>2854</v>
      </c>
    </row>
    <row r="2" spans="1:7" s="45" customFormat="1" ht="15.5" x14ac:dyDescent="0.25">
      <c r="A2" s="184" t="s">
        <v>1098</v>
      </c>
    </row>
    <row r="3" spans="1:7" x14ac:dyDescent="0.25">
      <c r="A3" s="19"/>
    </row>
    <row r="4" spans="1:7" x14ac:dyDescent="0.25">
      <c r="A4" s="19"/>
    </row>
    <row r="5" spans="1:7" x14ac:dyDescent="0.25">
      <c r="A5" s="19"/>
    </row>
    <row r="6" spans="1:7" x14ac:dyDescent="0.25">
      <c r="A6" s="19" t="s">
        <v>2855</v>
      </c>
    </row>
    <row r="7" spans="1:7" x14ac:dyDescent="0.25">
      <c r="A7" s="19"/>
    </row>
    <row r="8" spans="1:7" s="46" customFormat="1" ht="13" x14ac:dyDescent="0.25">
      <c r="A8" s="48" t="s">
        <v>750</v>
      </c>
    </row>
    <row r="9" spans="1:7" x14ac:dyDescent="0.25">
      <c r="A9" s="19" t="s">
        <v>2856</v>
      </c>
    </row>
    <row r="10" spans="1:7" ht="41.25" customHeight="1" x14ac:dyDescent="0.25">
      <c r="A10" s="245" t="s">
        <v>2857</v>
      </c>
      <c r="B10" s="245"/>
      <c r="C10" s="245"/>
      <c r="D10" s="245"/>
      <c r="E10" s="245"/>
      <c r="F10" s="245"/>
      <c r="G10" s="245"/>
    </row>
    <row r="11" spans="1:7" x14ac:dyDescent="0.25">
      <c r="A11" s="19"/>
    </row>
    <row r="12" spans="1:7" ht="28.5" customHeight="1" x14ac:dyDescent="0.25">
      <c r="A12" s="247" t="s">
        <v>1418</v>
      </c>
      <c r="B12" s="248"/>
      <c r="C12" s="248"/>
      <c r="D12" s="248"/>
      <c r="E12" s="248"/>
      <c r="F12" s="248"/>
      <c r="G12" s="248"/>
    </row>
    <row r="13" spans="1:7" x14ac:dyDescent="0.25">
      <c r="A13" s="19"/>
    </row>
    <row r="14" spans="1:7" ht="42.65" customHeight="1" x14ac:dyDescent="0.25">
      <c r="A14" s="245" t="s">
        <v>1670</v>
      </c>
      <c r="B14" s="246"/>
      <c r="C14" s="246"/>
      <c r="D14" s="246"/>
      <c r="E14" s="246"/>
      <c r="F14" s="246"/>
      <c r="G14" s="246"/>
    </row>
    <row r="15" spans="1:7" x14ac:dyDescent="0.25">
      <c r="A15" s="19"/>
    </row>
    <row r="16" spans="1:7" s="46" customFormat="1" ht="13" x14ac:dyDescent="0.25">
      <c r="A16" s="48" t="s">
        <v>751</v>
      </c>
    </row>
    <row r="17" spans="1:1" x14ac:dyDescent="0.25">
      <c r="A17" s="19" t="s">
        <v>805</v>
      </c>
    </row>
    <row r="18" spans="1:1" x14ac:dyDescent="0.25">
      <c r="A18" s="19" t="s">
        <v>2311</v>
      </c>
    </row>
    <row r="19" spans="1:1" x14ac:dyDescent="0.25">
      <c r="A19" s="19" t="s">
        <v>2310</v>
      </c>
    </row>
    <row r="20" spans="1:1" x14ac:dyDescent="0.25">
      <c r="A20" s="19" t="s">
        <v>1671</v>
      </c>
    </row>
    <row r="21" spans="1:1" x14ac:dyDescent="0.25">
      <c r="A21" s="54" t="s">
        <v>752</v>
      </c>
    </row>
    <row r="22" spans="1:1" x14ac:dyDescent="0.25">
      <c r="A22" s="54" t="s">
        <v>923</v>
      </c>
    </row>
    <row r="23" spans="1:1" x14ac:dyDescent="0.25">
      <c r="A23" s="19"/>
    </row>
    <row r="24" spans="1:1" x14ac:dyDescent="0.25">
      <c r="A24" s="19"/>
    </row>
    <row r="25" spans="1:1" x14ac:dyDescent="0.25">
      <c r="A25" s="19"/>
    </row>
  </sheetData>
  <customSheetViews>
    <customSheetView guid="{33D191C9-AE75-45EC-B301-B583C3381734}" showGridLines="0" fitToPage="1">
      <selection activeCell="A5" sqref="A5"/>
      <pageMargins left="0.75" right="0.75" top="1" bottom="1" header="0.5" footer="0.5"/>
      <pageSetup paperSize="9" fitToHeight="100" orientation="landscape" r:id="rId1"/>
      <headerFooter alignWithMargins="0"/>
    </customSheetView>
  </customSheetViews>
  <mergeCells count="3">
    <mergeCell ref="A10:G10"/>
    <mergeCell ref="A14:G14"/>
    <mergeCell ref="A12:G12"/>
  </mergeCells>
  <phoneticPr fontId="2" type="noConversion"/>
  <hyperlinks>
    <hyperlink ref="A21" r:id="rId2" xr:uid="{00000000-0004-0000-0000-000000000000}"/>
    <hyperlink ref="A22" r:id="rId3" xr:uid="{00000000-0004-0000-0000-000001000000}"/>
  </hyperlinks>
  <pageMargins left="0.75" right="0.75" top="1" bottom="1" header="0.5" footer="0.5"/>
  <pageSetup paperSize="9" fitToHeight="100"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tabColor rgb="FF951B81"/>
    <pageSetUpPr fitToPage="1"/>
  </sheetPr>
  <dimension ref="A1:L46"/>
  <sheetViews>
    <sheetView showGridLines="0" tabSelected="1" zoomScale="90" zoomScaleNormal="90" workbookViewId="0">
      <selection activeCell="F1" sqref="F1"/>
    </sheetView>
  </sheetViews>
  <sheetFormatPr defaultColWidth="9.1796875" defaultRowHeight="15.5" x14ac:dyDescent="0.25"/>
  <cols>
    <col min="1" max="1" width="3.7265625" style="47" customWidth="1"/>
    <col min="2" max="2" width="35.7265625" style="1" customWidth="1"/>
    <col min="3" max="3" width="5.26953125" style="1" customWidth="1"/>
    <col min="4" max="4" width="30" style="1" bestFit="1" customWidth="1"/>
    <col min="5" max="9" width="25.7265625" style="1" customWidth="1"/>
    <col min="10" max="16384" width="9.1796875" style="1"/>
  </cols>
  <sheetData>
    <row r="1" spans="1:9" s="44" customFormat="1" ht="22.5" x14ac:dyDescent="0.25">
      <c r="A1" s="183" t="s">
        <v>2854</v>
      </c>
      <c r="B1" s="183"/>
    </row>
    <row r="2" spans="1:9" s="45" customFormat="1" x14ac:dyDescent="0.25">
      <c r="A2" s="184" t="s">
        <v>378</v>
      </c>
    </row>
    <row r="4" spans="1:9" s="47" customFormat="1" x14ac:dyDescent="0.25">
      <c r="B4" s="177" t="s">
        <v>265</v>
      </c>
      <c r="C4" s="182" t="s">
        <v>1679</v>
      </c>
      <c r="D4" s="249" t="s">
        <v>266</v>
      </c>
      <c r="E4" s="250"/>
      <c r="F4" s="250"/>
      <c r="G4" s="250"/>
      <c r="H4" s="250"/>
      <c r="I4" s="251"/>
    </row>
    <row r="5" spans="1:9" x14ac:dyDescent="0.25">
      <c r="A5" s="178">
        <v>0</v>
      </c>
      <c r="B5" s="185" t="s">
        <v>85</v>
      </c>
      <c r="C5" s="185"/>
      <c r="D5" s="115"/>
      <c r="E5" s="115"/>
      <c r="F5" s="115"/>
      <c r="G5" s="115"/>
      <c r="H5" s="115"/>
      <c r="I5" s="115"/>
    </row>
    <row r="6" spans="1:9" ht="25" x14ac:dyDescent="0.25">
      <c r="A6" s="178">
        <v>1</v>
      </c>
      <c r="B6" s="185" t="s">
        <v>1097</v>
      </c>
      <c r="C6" s="186"/>
      <c r="D6" s="115" t="s">
        <v>668</v>
      </c>
      <c r="E6" s="115" t="s">
        <v>1421</v>
      </c>
      <c r="F6" s="157" t="s">
        <v>912</v>
      </c>
      <c r="G6" s="157" t="s">
        <v>669</v>
      </c>
      <c r="H6" s="157" t="s">
        <v>2313</v>
      </c>
      <c r="I6" s="157" t="s">
        <v>404</v>
      </c>
    </row>
    <row r="7" spans="1:9" ht="25" x14ac:dyDescent="0.25">
      <c r="A7" s="179"/>
      <c r="B7" s="185"/>
      <c r="C7" s="186"/>
      <c r="D7" s="157" t="s">
        <v>1431</v>
      </c>
      <c r="E7" s="115"/>
      <c r="F7" s="115"/>
      <c r="G7" s="157"/>
      <c r="H7" s="157"/>
      <c r="I7" s="157"/>
    </row>
    <row r="8" spans="1:9" ht="50" x14ac:dyDescent="0.25">
      <c r="A8" s="180">
        <v>2</v>
      </c>
      <c r="B8" s="185" t="s">
        <v>862</v>
      </c>
      <c r="C8" s="187"/>
      <c r="D8" s="157" t="s">
        <v>2205</v>
      </c>
      <c r="E8" s="157" t="s">
        <v>637</v>
      </c>
      <c r="F8" s="157" t="s">
        <v>1438</v>
      </c>
      <c r="G8" s="157" t="s">
        <v>788</v>
      </c>
      <c r="H8" s="157" t="s">
        <v>868</v>
      </c>
      <c r="I8" s="115"/>
    </row>
    <row r="9" spans="1:9" ht="25" x14ac:dyDescent="0.25">
      <c r="A9" s="180">
        <v>3</v>
      </c>
      <c r="B9" s="185" t="s">
        <v>52</v>
      </c>
      <c r="C9" s="187"/>
      <c r="D9" s="157" t="s">
        <v>2208</v>
      </c>
      <c r="E9" s="151" t="s">
        <v>453</v>
      </c>
      <c r="F9" s="151" t="s">
        <v>95</v>
      </c>
      <c r="G9" s="157" t="s">
        <v>323</v>
      </c>
      <c r="H9" s="157" t="s">
        <v>889</v>
      </c>
      <c r="I9" s="115"/>
    </row>
    <row r="10" spans="1:9" ht="25" x14ac:dyDescent="0.25">
      <c r="A10" s="180">
        <v>4</v>
      </c>
      <c r="B10" s="185" t="s">
        <v>821</v>
      </c>
      <c r="C10" s="187"/>
      <c r="D10" s="157" t="s">
        <v>2213</v>
      </c>
      <c r="E10" s="157" t="s">
        <v>194</v>
      </c>
      <c r="F10" s="151" t="s">
        <v>699</v>
      </c>
      <c r="G10" s="157" t="s">
        <v>840</v>
      </c>
      <c r="H10" s="115"/>
      <c r="I10" s="115"/>
    </row>
    <row r="11" spans="1:9" ht="25" x14ac:dyDescent="0.25">
      <c r="A11" s="180">
        <v>5</v>
      </c>
      <c r="B11" s="185" t="s">
        <v>155</v>
      </c>
      <c r="C11" s="188"/>
      <c r="D11" s="151" t="s">
        <v>668</v>
      </c>
      <c r="E11" s="151" t="s">
        <v>884</v>
      </c>
      <c r="F11" s="115"/>
      <c r="G11" s="115"/>
      <c r="H11" s="115"/>
      <c r="I11" s="115"/>
    </row>
    <row r="12" spans="1:9" x14ac:dyDescent="0.25">
      <c r="A12" s="180">
        <v>6</v>
      </c>
      <c r="B12" s="185" t="s">
        <v>461</v>
      </c>
      <c r="C12" s="187"/>
      <c r="D12" s="115" t="s">
        <v>668</v>
      </c>
      <c r="E12" s="115"/>
      <c r="F12" s="115"/>
      <c r="G12" s="115"/>
      <c r="H12" s="115"/>
      <c r="I12" s="115"/>
    </row>
    <row r="13" spans="1:9" x14ac:dyDescent="0.25">
      <c r="A13" s="180">
        <v>7</v>
      </c>
      <c r="B13" s="185" t="s">
        <v>480</v>
      </c>
      <c r="C13" s="188"/>
      <c r="D13" s="115" t="s">
        <v>668</v>
      </c>
      <c r="E13" s="115"/>
      <c r="F13" s="115"/>
      <c r="G13" s="115"/>
      <c r="H13" s="115"/>
      <c r="I13" s="115"/>
    </row>
    <row r="14" spans="1:9" x14ac:dyDescent="0.25">
      <c r="A14" s="180">
        <v>8</v>
      </c>
      <c r="B14" s="185" t="s">
        <v>75</v>
      </c>
      <c r="C14" s="188"/>
      <c r="D14" s="115" t="s">
        <v>668</v>
      </c>
      <c r="E14" s="115"/>
      <c r="F14" s="115"/>
      <c r="G14" s="115"/>
      <c r="H14" s="115"/>
      <c r="I14" s="115"/>
    </row>
    <row r="15" spans="1:9" x14ac:dyDescent="0.25">
      <c r="A15" s="180">
        <v>9</v>
      </c>
      <c r="B15" s="185" t="s">
        <v>463</v>
      </c>
      <c r="C15" s="187"/>
      <c r="D15" s="115" t="s">
        <v>668</v>
      </c>
      <c r="E15" s="115"/>
      <c r="F15" s="115"/>
      <c r="G15" s="115"/>
      <c r="H15" s="115"/>
      <c r="I15" s="115"/>
    </row>
    <row r="16" spans="1:9" x14ac:dyDescent="0.25">
      <c r="A16" s="180">
        <v>10</v>
      </c>
      <c r="B16" s="185" t="s">
        <v>493</v>
      </c>
      <c r="C16" s="188"/>
      <c r="D16" s="115" t="s">
        <v>668</v>
      </c>
      <c r="E16" s="115" t="s">
        <v>508</v>
      </c>
      <c r="F16" s="115" t="s">
        <v>515</v>
      </c>
      <c r="G16" s="115" t="s">
        <v>307</v>
      </c>
      <c r="H16" s="115" t="s">
        <v>313</v>
      </c>
      <c r="I16" s="157" t="s">
        <v>413</v>
      </c>
    </row>
    <row r="17" spans="1:12" x14ac:dyDescent="0.25">
      <c r="A17" s="180"/>
      <c r="B17" s="185"/>
      <c r="C17" s="188"/>
      <c r="D17" s="115" t="s">
        <v>464</v>
      </c>
      <c r="E17" s="115" t="s">
        <v>630</v>
      </c>
      <c r="G17" s="115"/>
      <c r="H17" s="115"/>
      <c r="I17" s="115"/>
      <c r="J17" s="145"/>
    </row>
    <row r="18" spans="1:12" ht="25" x14ac:dyDescent="0.25">
      <c r="A18" s="180">
        <v>11</v>
      </c>
      <c r="B18" s="185" t="s">
        <v>814</v>
      </c>
      <c r="C18" s="188"/>
      <c r="D18" s="157" t="s">
        <v>668</v>
      </c>
      <c r="E18" s="157" t="s">
        <v>15</v>
      </c>
      <c r="F18" s="115" t="s">
        <v>524</v>
      </c>
      <c r="G18" s="157" t="s">
        <v>580</v>
      </c>
      <c r="H18" s="151" t="s">
        <v>575</v>
      </c>
      <c r="I18" s="151" t="s">
        <v>578</v>
      </c>
    </row>
    <row r="19" spans="1:12" ht="25" x14ac:dyDescent="0.25">
      <c r="A19" s="180"/>
      <c r="B19" s="185"/>
      <c r="C19" s="189"/>
      <c r="D19" s="157" t="s">
        <v>878</v>
      </c>
      <c r="E19" s="157" t="s">
        <v>118</v>
      </c>
      <c r="F19" s="157" t="s">
        <v>677</v>
      </c>
      <c r="G19" s="157" t="s">
        <v>681</v>
      </c>
      <c r="H19" s="157" t="s">
        <v>684</v>
      </c>
      <c r="I19" s="157" t="s">
        <v>688</v>
      </c>
    </row>
    <row r="20" spans="1:12" x14ac:dyDescent="0.25">
      <c r="A20" s="180"/>
      <c r="B20" s="185"/>
      <c r="C20" s="189"/>
      <c r="D20" s="157" t="s">
        <v>1262</v>
      </c>
      <c r="E20" s="115"/>
      <c r="F20" s="115"/>
      <c r="G20" s="115"/>
      <c r="H20" s="115"/>
      <c r="I20" s="115"/>
    </row>
    <row r="21" spans="1:12" x14ac:dyDescent="0.25">
      <c r="A21" s="180">
        <v>12</v>
      </c>
      <c r="B21" s="185" t="s">
        <v>692</v>
      </c>
      <c r="C21" s="187"/>
      <c r="D21" s="151" t="s">
        <v>287</v>
      </c>
      <c r="E21" s="151" t="s">
        <v>66</v>
      </c>
      <c r="F21" s="115"/>
      <c r="G21" s="115"/>
      <c r="H21" s="115"/>
      <c r="I21" s="115"/>
    </row>
    <row r="22" spans="1:12" x14ac:dyDescent="0.25">
      <c r="A22" s="180">
        <v>13</v>
      </c>
      <c r="B22" s="185" t="s">
        <v>758</v>
      </c>
      <c r="C22" s="187"/>
      <c r="D22" s="115" t="s">
        <v>668</v>
      </c>
      <c r="E22" s="115"/>
      <c r="F22" s="115"/>
      <c r="G22" s="115"/>
      <c r="H22" s="115"/>
      <c r="I22" s="115"/>
    </row>
    <row r="23" spans="1:12" ht="25" x14ac:dyDescent="0.25">
      <c r="A23" s="180">
        <v>14</v>
      </c>
      <c r="B23" s="185" t="s">
        <v>263</v>
      </c>
      <c r="C23" s="187"/>
      <c r="D23" s="115" t="s">
        <v>668</v>
      </c>
      <c r="E23" s="115" t="s">
        <v>195</v>
      </c>
      <c r="F23" s="157" t="s">
        <v>196</v>
      </c>
      <c r="G23" s="157" t="s">
        <v>198</v>
      </c>
      <c r="H23" s="157" t="s">
        <v>202</v>
      </c>
      <c r="I23" s="157" t="s">
        <v>671</v>
      </c>
    </row>
    <row r="24" spans="1:12" x14ac:dyDescent="0.25">
      <c r="A24" s="180"/>
      <c r="B24" s="185"/>
      <c r="C24" s="189"/>
      <c r="D24" s="157" t="s">
        <v>250</v>
      </c>
      <c r="E24" s="151" t="s">
        <v>1288</v>
      </c>
      <c r="F24" s="157" t="s">
        <v>252</v>
      </c>
      <c r="G24" s="157" t="s">
        <v>198</v>
      </c>
      <c r="H24" s="151" t="s">
        <v>201</v>
      </c>
      <c r="I24" s="151" t="s">
        <v>1290</v>
      </c>
    </row>
    <row r="25" spans="1:12" ht="25" x14ac:dyDescent="0.25">
      <c r="A25" s="180"/>
      <c r="B25" s="185"/>
      <c r="C25" s="190"/>
      <c r="D25" s="151" t="s">
        <v>202</v>
      </c>
      <c r="E25" s="157" t="s">
        <v>640</v>
      </c>
      <c r="F25" s="151" t="s">
        <v>126</v>
      </c>
      <c r="G25" s="115"/>
      <c r="H25" s="115"/>
      <c r="I25" s="115"/>
      <c r="J25" s="3"/>
      <c r="L25" s="172"/>
    </row>
    <row r="26" spans="1:12" x14ac:dyDescent="0.25">
      <c r="A26" s="180">
        <v>15</v>
      </c>
      <c r="B26" s="185" t="s">
        <v>127</v>
      </c>
      <c r="C26" s="187"/>
      <c r="D26" s="115" t="s">
        <v>668</v>
      </c>
      <c r="E26" s="115"/>
      <c r="F26" s="115"/>
      <c r="G26" s="115"/>
      <c r="H26" s="115"/>
      <c r="I26" s="115"/>
    </row>
    <row r="27" spans="1:12" x14ac:dyDescent="0.25">
      <c r="A27" s="180">
        <v>16</v>
      </c>
      <c r="B27" s="185" t="s">
        <v>710</v>
      </c>
      <c r="C27" s="187"/>
      <c r="D27" s="115"/>
      <c r="E27" s="115"/>
      <c r="F27" s="115"/>
      <c r="G27" s="115"/>
      <c r="H27" s="115"/>
      <c r="I27" s="115"/>
    </row>
    <row r="28" spans="1:12" x14ac:dyDescent="0.25">
      <c r="A28" s="180">
        <v>17</v>
      </c>
      <c r="B28" s="185" t="s">
        <v>270</v>
      </c>
      <c r="C28" s="188"/>
      <c r="D28" s="115"/>
      <c r="E28" s="115"/>
      <c r="F28" s="115"/>
      <c r="G28" s="115"/>
      <c r="H28" s="115"/>
      <c r="I28" s="115"/>
    </row>
    <row r="29" spans="1:12" ht="25" x14ac:dyDescent="0.25">
      <c r="A29" s="180">
        <v>18</v>
      </c>
      <c r="B29" s="185" t="s">
        <v>423</v>
      </c>
      <c r="C29" s="191"/>
      <c r="D29" s="115" t="s">
        <v>668</v>
      </c>
      <c r="E29" s="157" t="s">
        <v>2852</v>
      </c>
      <c r="F29" s="157" t="s">
        <v>872</v>
      </c>
      <c r="G29" s="157" t="s">
        <v>2853</v>
      </c>
      <c r="H29" s="115"/>
      <c r="I29" s="115"/>
    </row>
    <row r="30" spans="1:12" x14ac:dyDescent="0.25">
      <c r="A30" s="180">
        <v>19</v>
      </c>
      <c r="B30" s="185" t="s">
        <v>1555</v>
      </c>
      <c r="C30" s="191"/>
      <c r="D30" s="115" t="s">
        <v>668</v>
      </c>
      <c r="E30" s="115"/>
      <c r="F30" s="115"/>
      <c r="G30" s="115"/>
      <c r="H30" s="115"/>
      <c r="I30" s="115"/>
    </row>
    <row r="31" spans="1:12" x14ac:dyDescent="0.25">
      <c r="A31" s="180">
        <v>20</v>
      </c>
      <c r="B31" s="185" t="s">
        <v>711</v>
      </c>
      <c r="C31" s="187"/>
      <c r="D31" s="115"/>
      <c r="E31" s="115"/>
      <c r="F31" s="115"/>
      <c r="G31" s="115"/>
      <c r="H31" s="115"/>
      <c r="I31" s="115"/>
    </row>
    <row r="32" spans="1:12" ht="37.5" x14ac:dyDescent="0.25">
      <c r="A32" s="180">
        <v>21</v>
      </c>
      <c r="B32" s="185" t="s">
        <v>421</v>
      </c>
      <c r="C32" s="187"/>
      <c r="D32" s="147" t="s">
        <v>713</v>
      </c>
      <c r="E32" s="147" t="s">
        <v>714</v>
      </c>
      <c r="F32" s="115"/>
      <c r="G32" s="115"/>
      <c r="H32" s="115"/>
      <c r="I32" s="115"/>
    </row>
    <row r="33" spans="1:9" x14ac:dyDescent="0.25">
      <c r="A33" s="180">
        <v>22</v>
      </c>
      <c r="B33" s="185" t="s">
        <v>1519</v>
      </c>
      <c r="C33" s="191"/>
      <c r="D33" s="115"/>
      <c r="E33" s="115"/>
      <c r="F33" s="115"/>
      <c r="G33" s="115"/>
      <c r="H33" s="115"/>
      <c r="I33" s="115"/>
    </row>
    <row r="34" spans="1:9" x14ac:dyDescent="0.25">
      <c r="A34" s="180">
        <v>23</v>
      </c>
      <c r="B34" s="185" t="s">
        <v>488</v>
      </c>
      <c r="C34" s="187"/>
      <c r="D34" s="115"/>
      <c r="E34" s="115"/>
      <c r="F34" s="115"/>
      <c r="G34" s="115"/>
      <c r="H34" s="115"/>
      <c r="I34" s="115"/>
    </row>
    <row r="35" spans="1:9" x14ac:dyDescent="0.25">
      <c r="A35" s="180">
        <v>24</v>
      </c>
      <c r="B35" s="185" t="s">
        <v>1588</v>
      </c>
      <c r="C35" s="191"/>
      <c r="D35" s="115"/>
      <c r="E35" s="115"/>
      <c r="F35" s="115"/>
      <c r="G35" s="115"/>
      <c r="H35" s="115"/>
      <c r="I35" s="115"/>
    </row>
    <row r="36" spans="1:9" x14ac:dyDescent="0.25">
      <c r="A36" s="180">
        <v>25</v>
      </c>
      <c r="B36" s="185" t="s">
        <v>2001</v>
      </c>
      <c r="C36" s="187"/>
      <c r="D36" s="115"/>
      <c r="E36" s="115"/>
      <c r="F36" s="115"/>
      <c r="G36" s="115"/>
      <c r="H36" s="115"/>
      <c r="I36" s="115"/>
    </row>
    <row r="37" spans="1:9" x14ac:dyDescent="0.25">
      <c r="A37" s="180">
        <v>26</v>
      </c>
      <c r="B37" s="185" t="s">
        <v>234</v>
      </c>
      <c r="C37" s="187"/>
      <c r="D37" s="115" t="s">
        <v>668</v>
      </c>
      <c r="E37" s="157" t="s">
        <v>493</v>
      </c>
      <c r="F37" s="157" t="s">
        <v>263</v>
      </c>
      <c r="G37" s="157" t="s">
        <v>675</v>
      </c>
      <c r="H37" s="115"/>
      <c r="I37" s="115"/>
    </row>
    <row r="38" spans="1:9" x14ac:dyDescent="0.25">
      <c r="A38" s="180">
        <v>27</v>
      </c>
      <c r="B38" s="185" t="s">
        <v>1672</v>
      </c>
      <c r="C38" s="187"/>
      <c r="D38" s="115"/>
      <c r="E38" s="115"/>
      <c r="F38" s="115"/>
      <c r="G38" s="115"/>
      <c r="H38" s="115"/>
      <c r="I38" s="115"/>
    </row>
    <row r="39" spans="1:9" ht="25" x14ac:dyDescent="0.25">
      <c r="A39" s="180">
        <v>28</v>
      </c>
      <c r="B39" s="185" t="s">
        <v>1060</v>
      </c>
      <c r="C39" s="187"/>
      <c r="D39" s="115" t="s">
        <v>668</v>
      </c>
      <c r="E39" s="157" t="s">
        <v>283</v>
      </c>
      <c r="F39" s="151" t="s">
        <v>1673</v>
      </c>
      <c r="G39" s="157" t="s">
        <v>1674</v>
      </c>
      <c r="H39" s="157" t="s">
        <v>1643</v>
      </c>
      <c r="I39" s="156" t="s">
        <v>2394</v>
      </c>
    </row>
    <row r="40" spans="1:9" ht="25" x14ac:dyDescent="0.25">
      <c r="A40" s="180">
        <v>29</v>
      </c>
      <c r="B40" s="185" t="s">
        <v>1063</v>
      </c>
      <c r="C40" s="187"/>
      <c r="D40" s="115" t="s">
        <v>668</v>
      </c>
      <c r="E40" s="157" t="s">
        <v>548</v>
      </c>
      <c r="F40" s="157" t="s">
        <v>1657</v>
      </c>
      <c r="G40" s="157" t="s">
        <v>1781</v>
      </c>
      <c r="H40" s="115"/>
      <c r="I40" s="115"/>
    </row>
    <row r="41" spans="1:9" x14ac:dyDescent="0.25">
      <c r="A41" s="180">
        <v>30</v>
      </c>
      <c r="B41" s="185" t="s">
        <v>2851</v>
      </c>
      <c r="C41" s="187"/>
      <c r="D41" s="157" t="s">
        <v>2813</v>
      </c>
      <c r="E41" s="157"/>
      <c r="F41" s="157"/>
      <c r="G41" s="157"/>
      <c r="H41" s="115"/>
      <c r="I41" s="115"/>
    </row>
    <row r="42" spans="1:9" x14ac:dyDescent="0.25">
      <c r="A42" s="180">
        <v>31</v>
      </c>
      <c r="B42" s="185" t="s">
        <v>142</v>
      </c>
      <c r="C42" s="187"/>
      <c r="D42" s="115"/>
      <c r="E42" s="115"/>
      <c r="F42" s="115"/>
      <c r="G42" s="115"/>
      <c r="H42" s="115"/>
      <c r="I42" s="115"/>
    </row>
    <row r="43" spans="1:9" x14ac:dyDescent="0.25">
      <c r="A43" s="180">
        <v>32</v>
      </c>
      <c r="B43" s="185" t="s">
        <v>361</v>
      </c>
      <c r="C43" s="187"/>
      <c r="D43" s="115"/>
      <c r="E43" s="115"/>
      <c r="F43" s="115"/>
      <c r="G43" s="115"/>
      <c r="H43" s="115"/>
      <c r="I43" s="115"/>
    </row>
    <row r="44" spans="1:9" x14ac:dyDescent="0.25">
      <c r="A44" s="180">
        <v>33</v>
      </c>
      <c r="B44" s="185" t="s">
        <v>715</v>
      </c>
      <c r="C44" s="187"/>
      <c r="D44" s="115"/>
      <c r="E44" s="115"/>
      <c r="F44" s="115"/>
      <c r="G44" s="115"/>
      <c r="H44" s="115"/>
      <c r="I44" s="115"/>
    </row>
    <row r="45" spans="1:9" x14ac:dyDescent="0.25">
      <c r="A45" s="180">
        <v>34</v>
      </c>
      <c r="B45" s="185" t="s">
        <v>41</v>
      </c>
      <c r="C45" s="187"/>
      <c r="D45" s="115"/>
      <c r="E45" s="115"/>
      <c r="F45" s="115"/>
      <c r="G45" s="115"/>
      <c r="H45" s="115"/>
      <c r="I45" s="115"/>
    </row>
    <row r="46" spans="1:9" x14ac:dyDescent="0.25">
      <c r="A46" s="181">
        <v>35</v>
      </c>
      <c r="B46" s="185" t="s">
        <v>485</v>
      </c>
      <c r="C46" s="192"/>
      <c r="D46" s="115"/>
      <c r="E46" s="115"/>
      <c r="F46" s="115"/>
      <c r="G46" s="115"/>
      <c r="H46" s="115"/>
      <c r="I46" s="115"/>
    </row>
  </sheetData>
  <customSheetViews>
    <customSheetView guid="{33D191C9-AE75-45EC-B301-B583C3381734}" showGridLines="0" fitToPage="1">
      <selection activeCell="B10" sqref="B10"/>
      <pageMargins left="0.75" right="0.75" top="1" bottom="1" header="0.5" footer="0.5"/>
      <pageSetup paperSize="9" scale="68" fitToHeight="100" orientation="landscape" r:id="rId1"/>
      <headerFooter alignWithMargins="0"/>
    </customSheetView>
  </customSheetViews>
  <mergeCells count="1">
    <mergeCell ref="D4:I4"/>
  </mergeCells>
  <phoneticPr fontId="2" type="noConversion"/>
  <hyperlinks>
    <hyperlink ref="B6" location="'Grondslagen en uitgangspunten'!A6" display="Grondslagen en uitgangspunten" xr:uid="{00000000-0004-0000-0100-000000000000}"/>
    <hyperlink ref="B8" location="'Immateriële vaste activa'!A6" display="Immateriële vaste activa" xr:uid="{00000000-0004-0000-0100-000001000000}"/>
    <hyperlink ref="E8" location="'Immateriële vaste activa'!A56" display="Oprichtingskosten en kosten uitgifte aandelen" xr:uid="{00000000-0004-0000-0100-000002000000}"/>
    <hyperlink ref="F8" location="'Immateriële vaste activa'!A66" display="Kosten van ontwikkeling" xr:uid="{00000000-0004-0000-0100-000003000000}"/>
    <hyperlink ref="G8" location="'Immateriële vaste activa'!A80" display="Verwerving ter zake van concessies, vergunningen, rechten en intellectuele eigendom" xr:uid="{00000000-0004-0000-0100-000004000000}"/>
    <hyperlink ref="H8" location="'Immateriële vaste activa'!A92" display="Goodwill verkregen van derden" xr:uid="{00000000-0004-0000-0100-000005000000}"/>
    <hyperlink ref="B9" location="'Materiële vaste activa'!A6" display="Materiële vaste activa" xr:uid="{00000000-0004-0000-0100-000006000000}"/>
    <hyperlink ref="D9" location="'Materiële vaste activa'!A7" display="Materiële vaste activa algemeen" xr:uid="{00000000-0004-0000-0100-000007000000}"/>
    <hyperlink ref="E9" location="'Materiële vaste activa'!A43" display="Waardering op actuele waarde" xr:uid="{00000000-0004-0000-0100-000008000000}"/>
    <hyperlink ref="F9" location="'Materiële vaste activa'!A56" display="Waardering op historische kostprijs" xr:uid="{00000000-0004-0000-0100-000009000000}"/>
    <hyperlink ref="G9" location="'Materiële vaste activa'!A106" display="Vastgoedbeleggingen" xr:uid="{00000000-0004-0000-0100-00000A000000}"/>
    <hyperlink ref="H9" location="'Materiële vaste activa'!A132" display="Leasing" xr:uid="{00000000-0004-0000-0100-00000B000000}"/>
    <hyperlink ref="B10" location="'Financiële vaste activa'!A6" display="Financiële vaste activa" xr:uid="{00000000-0004-0000-0100-00000C000000}"/>
    <hyperlink ref="D10" location="'Financiële vaste activa'!A7" display="Financiële vaste activa algemeen" xr:uid="{00000000-0004-0000-0100-00000D000000}"/>
    <hyperlink ref="E10" location="'Financiële vaste activa'!A9" display="Deelnemingen en kapitaalbelangen" xr:uid="{00000000-0004-0000-0100-00000E000000}"/>
    <hyperlink ref="F10" location="'Financiële vaste activa'!A43" display="Goodwill in deelnemingen" xr:uid="{00000000-0004-0000-0100-00000F000000}"/>
    <hyperlink ref="G10" location="'Financiële vaste activa'!A111" display="Overige financiële vaste activa" xr:uid="{00000000-0004-0000-0100-000010000000}"/>
    <hyperlink ref="B11" location="Voorraden!A6" display="Voorraden" xr:uid="{00000000-0004-0000-0100-000011000000}"/>
    <hyperlink ref="D11" location="Voorraden!A7" display="Algemeen" xr:uid="{00000000-0004-0000-0100-000012000000}"/>
    <hyperlink ref="E11" location="Voorraden!A62" display="Onderhanden projecten in opdracht van derden" xr:uid="{00000000-0004-0000-0100-000013000000}"/>
    <hyperlink ref="D6" location="'Grondslagen en uitgangspunten'!A7" display="Algemeen" xr:uid="{00000000-0004-0000-0100-000014000000}"/>
    <hyperlink ref="B12" location="'Vorderingen overl.activa'!A6" display="Vorderingen kortlopend " xr:uid="{00000000-0004-0000-0100-000015000000}"/>
    <hyperlink ref="D12" location="'Vorderingen overl.activa'!A6" display="Algemeen" xr:uid="{00000000-0004-0000-0100-000016000000}"/>
    <hyperlink ref="D13" location="Effecten!A6" display="Algemeen" xr:uid="{00000000-0004-0000-0100-000017000000}"/>
    <hyperlink ref="B13" location="Effecten!A6" display="Effecten" xr:uid="{00000000-0004-0000-0100-000018000000}"/>
    <hyperlink ref="B14" location="'Liquide middelen'!A6" display="Liquide middelen" xr:uid="{00000000-0004-0000-0100-000019000000}"/>
    <hyperlink ref="B15" location="'Niet in de balans opgen activa'!A6" display="Niet in balans opgenomen activa" xr:uid="{00000000-0004-0000-0100-00001A000000}"/>
    <hyperlink ref="B16" location="'Eigen vermogen'!A6" display="Eigen vermogen" xr:uid="{00000000-0004-0000-0100-00001B000000}"/>
    <hyperlink ref="D16" location="'Eigen vermogen'!A6" display="Algemeen" xr:uid="{00000000-0004-0000-0100-00001C000000}"/>
    <hyperlink ref="E16" location="'Eigen vermogen'!A69" display="Wettelijke reserves" xr:uid="{00000000-0004-0000-0100-00001D000000}"/>
    <hyperlink ref="F16" location="'Eigen vermogen'!A87" display="Herwaarderingsreserve" xr:uid="{00000000-0004-0000-0100-00001E000000}"/>
    <hyperlink ref="G16" location="'Eigen vermogen'!A105" display="Reserve deelneming" xr:uid="{00000000-0004-0000-0100-00001F000000}"/>
    <hyperlink ref="H16" location="'Eigen vermogen'!A118" display="Andere reserves" xr:uid="{00000000-0004-0000-0100-000020000000}"/>
    <hyperlink ref="I16" location="'Eigen vermogen'!A128" display="Groepsvermogen" xr:uid="{00000000-0004-0000-0100-000021000000}"/>
    <hyperlink ref="D17" location="'Eigen vermogen'!A139" display="Opties" xr:uid="{00000000-0004-0000-0100-000022000000}"/>
    <hyperlink ref="B18" location="Voorzieningen!A6" display="Voorzieningen" xr:uid="{00000000-0004-0000-0100-000023000000}"/>
    <hyperlink ref="E18" location="Voorzieningen!A41" display="Pensioenvoorzieningen" xr:uid="{00000000-0004-0000-0100-000024000000}"/>
    <hyperlink ref="D18" location="Voorzieningen!A7" display="Algemeen" xr:uid="{00000000-0004-0000-0100-000025000000}"/>
    <hyperlink ref="F18" location="Voorzieningen!A82" display="Vut-voorziening en verlofregeling" xr:uid="{00000000-0004-0000-0100-000026000000}"/>
    <hyperlink ref="G18" location="Voorzieningen!A91" display="Latente belastingvoorziening (actief en passief)" xr:uid="{00000000-0004-0000-0100-000027000000}"/>
    <hyperlink ref="H18" location="Voorzieningen!A110" display="Actieve latenties" xr:uid="{00000000-0004-0000-0100-000028000000}"/>
    <hyperlink ref="I18" location="Voorzieningen!A118" display="Voorziening reorganisatiekosten" xr:uid="{00000000-0004-0000-0100-000029000000}"/>
    <hyperlink ref="D19" location="Voorzieningen!A135" display="Garantievoorziening" xr:uid="{00000000-0004-0000-0100-00002A000000}"/>
    <hyperlink ref="E19" location="Voorzieningen!A143" display="Voorziening Groot Onderhoud" xr:uid="{00000000-0004-0000-0100-00002B000000}"/>
    <hyperlink ref="F19" location="Voorzieningen!A160" display="Voorziening milieuschade" xr:uid="{00000000-0004-0000-0100-00002C000000}"/>
    <hyperlink ref="G19" location="Voorzieningen!A168" display="Voorziening herstelkosten" xr:uid="{00000000-0004-0000-0100-00002D000000}"/>
    <hyperlink ref="H19" location="Voorzieningen!A174" display="Voorziening verwijderingsverplichtingen" xr:uid="{00000000-0004-0000-0100-00002E000000}"/>
    <hyperlink ref="I19" location="Voorzieningen!A177" display="Voorziening arbeidsongeschiktheidskosten" xr:uid="{00000000-0004-0000-0100-00002F000000}"/>
    <hyperlink ref="B21" location="'Schulden lange korte termijn'!A6" display="Schulden op lange en korte termijn" xr:uid="{00000000-0004-0000-0100-000030000000}"/>
    <hyperlink ref="D21" location="'Schulden lange korte termijn'!A7" display="Opname" xr:uid="{00000000-0004-0000-0100-000031000000}"/>
    <hyperlink ref="E21" location="'Schulden lange korte termijn'!A59" display="Overlopende passiva" xr:uid="{00000000-0004-0000-0100-000032000000}"/>
    <hyperlink ref="B22" location="'Niet in de balans opgen verpl.'!A6" display="Niet in balans opgenomen verplichtingen" xr:uid="{00000000-0004-0000-0100-000033000000}"/>
    <hyperlink ref="D22" location="'Niet in de balans opgen verpl.'!A6" display="Algemeen" xr:uid="{00000000-0004-0000-0100-000034000000}"/>
    <hyperlink ref="B23" location="'Winst- en verliesrek.'!A6" display="Winst- en verliesrekening" xr:uid="{00000000-0004-0000-0100-000035000000}"/>
    <hyperlink ref="D23" location="'Winst- en verliesrek.'!A6" display="Algemeen" xr:uid="{00000000-0004-0000-0100-000036000000}"/>
    <hyperlink ref="E23" location="'Winst- en verliesrek.'!A17" display="Grondslagen voor de bepaling van het resultaat" xr:uid="{00000000-0004-0000-0100-000037000000}"/>
    <hyperlink ref="F23" location="'Winst- en verliesrek.'!A54" display="Categoriale indeling" xr:uid="{00000000-0004-0000-0100-000038000000}"/>
    <hyperlink ref="G23" location="'Winst- en verliesrek.'!A66" display="Netto-omzet" xr:uid="{00000000-0004-0000-0100-000039000000}"/>
    <hyperlink ref="H23" location="'Winst- en verliesrek.'!A78" display="Lonen en salarissen, sociale lasten en pensioenlasten" xr:uid="{00000000-0004-0000-0100-00003B000000}"/>
    <hyperlink ref="F24" location="'Winst- en verliesrek.'!A121" display="Functionele indeling" xr:uid="{00000000-0004-0000-0100-00003C000000}"/>
    <hyperlink ref="G24" location="'Winst- en verliesrek.'!A130" display="Netto-omzet" xr:uid="{00000000-0004-0000-0100-00003D000000}"/>
    <hyperlink ref="E25" location="'Winst- en verliesrek.'!A147" display="Overige posten winst- en verliesrekening" xr:uid="{00000000-0004-0000-0100-00003E000000}"/>
    <hyperlink ref="F25" location="'Winst- en verliesrek.'!A165" display="Bijzondere posten" xr:uid="{00000000-0004-0000-0100-00003F000000}"/>
    <hyperlink ref="B26" location="'Belasting naar de winst'!A6" display="Belastingen naar de winst" xr:uid="{00000000-0004-0000-0100-000040000000}"/>
    <hyperlink ref="D26" location="'Belasting naar de winst'!A6" display="Algemeen" xr:uid="{00000000-0004-0000-0100-000041000000}"/>
    <hyperlink ref="B27" location="'Beëindiging bedr.activiteiten'!A6" display="Beeïndiging bedrijfsactiviteiten" xr:uid="{00000000-0004-0000-0100-000042000000}"/>
    <hyperlink ref="B28" location="'Verbonden partijen'!A6" display="Verbonden partijen" xr:uid="{00000000-0004-0000-0100-000043000000}"/>
    <hyperlink ref="B29" location="Kasstroomoverzicht!A6" display="Kasstroomoverzicht" xr:uid="{00000000-0004-0000-0100-000044000000}"/>
    <hyperlink ref="B45" location="'Samengestelde transacties'!A6" display="Samengestelde transacties" xr:uid="{00000000-0004-0000-0100-000045000000}"/>
    <hyperlink ref="B40" location="'Financiële instrumenten'!A6" display="Financiële instrumenten" xr:uid="{00000000-0004-0000-0100-000046000000}"/>
    <hyperlink ref="D40" location="'Financiële instrumenten'!A6" display="Algemeen" xr:uid="{00000000-0004-0000-0100-000047000000}"/>
    <hyperlink ref="E40" location="'Financiële instrumenten'!A90" display="Hedge accounting" xr:uid="{00000000-0004-0000-0100-000048000000}"/>
    <hyperlink ref="B31" location="'Overige gegevens'!A6" display="Overige gegevens" xr:uid="{00000000-0004-0000-0100-000049000000}"/>
    <hyperlink ref="B32" location="'Gebeurtenissen na balansdatum'!A6" display="Gebeurtenissen na balansdatum" xr:uid="{00000000-0004-0000-0100-00004A000000}"/>
    <hyperlink ref="D32" location="'Gebeurtenissen na balansdatum'!A7" display="Gebeurtenissen die nadere informatie geven  over de situatie op balansdatum " xr:uid="{00000000-0004-0000-0100-00004B000000}"/>
    <hyperlink ref="E32" location="'Gebeurtenissen na balansdatum'!A11" display="Gebeurtenissen die geen nadere informatie geven over de situatie op balansdatum" xr:uid="{00000000-0004-0000-0100-00004C000000}"/>
    <hyperlink ref="B44" location="Segmentatie!A6" display="Segmentatie" xr:uid="{00000000-0004-0000-0100-00004D000000}"/>
    <hyperlink ref="B42" location="Accountantscontrole!A6" display="Accountantscontrole" xr:uid="{00000000-0004-0000-0100-00004E000000}"/>
    <hyperlink ref="B46" location="'Termijnen jaarrekening'!A6" display="Termijnen jaarrekening" xr:uid="{00000000-0004-0000-0100-00004F000000}"/>
    <hyperlink ref="B34" location="'Grote rechtspersonen'!A6" display="Grote rechtspersonen" xr:uid="{00000000-0004-0000-0100-000050000000}"/>
    <hyperlink ref="B38" location="'Org. zonder winststreven'!A6" display="Organisaties zonder winststreven" xr:uid="{00000000-0004-0000-0100-000051000000}"/>
    <hyperlink ref="B37" location="'Commerciële stichtingen en ver.'!A6" display="Commerciële stichtingen en verenigingen" xr:uid="{00000000-0004-0000-0100-000052000000}"/>
    <hyperlink ref="D37" location="'Commerciële stichtingen en ver.'!A6" display="Algemeen" xr:uid="{00000000-0004-0000-0100-000053000000}"/>
    <hyperlink ref="E37" location="'Commerciële stichtingen en ver.'!A17" display="Eigen vermogen" xr:uid="{00000000-0004-0000-0100-000054000000}"/>
    <hyperlink ref="F37" location="'Commerciële stichtingen en ver.'!A22" display="Winst- en verliesrekening" xr:uid="{00000000-0004-0000-0100-000055000000}"/>
    <hyperlink ref="B36" location="'Ent zonder rechtspersoonlijkh'!A6" display="Entiteiten zonder rechtspersoonlijkheid" xr:uid="{00000000-0004-0000-0100-000056000000}"/>
    <hyperlink ref="B43" location="'Financ. anal en kengetallen'!A6" display="Financiële analyses en kengetallen" xr:uid="{00000000-0004-0000-0100-000057000000}"/>
    <hyperlink ref="B5" location="Klantgegevens!A4" display="Klantgegevens" xr:uid="{00000000-0004-0000-0100-000058000000}"/>
    <hyperlink ref="E6" location="'Grondslagen en uitgangspunten'!A35" display="Grenzen groot, middelgroot, klein en micro" xr:uid="{00000000-0004-0000-0100-000059000000}"/>
    <hyperlink ref="F6" location="'Grondslagen en uitgangspunten'!A57" display="Discontinuïteit" xr:uid="{00000000-0004-0000-0100-00005A000000}"/>
    <hyperlink ref="G6" location="'Grondslagen en uitgangspunten'!A65" display="Vreemde valuta " xr:uid="{00000000-0004-0000-0100-00005B000000}"/>
    <hyperlink ref="I6" location="'Grondslagen en uitgangspunten'!A96" display="Bijzondere waardeverminderingen" xr:uid="{00000000-0004-0000-0100-00005C000000}"/>
    <hyperlink ref="D7" location="'Grondslagen en uitgangspunten'!A122" display="Stelselwijziging, schattingswijziging, foutherstel" xr:uid="{00000000-0004-0000-0100-00005D000000}"/>
    <hyperlink ref="E17" location="'Eigen vermogen'!A160" display="Winst per aandeel" xr:uid="{00000000-0004-0000-0100-00005E000000}"/>
    <hyperlink ref="D20" location="Voorzieningen!A182" display="Voorziening overheidsheffingen" xr:uid="{00000000-0004-0000-0100-00005F000000}"/>
    <hyperlink ref="I23" location="'Winst- en verliesrek.'!A107" display="Afschrijvingen" xr:uid="{00000000-0004-0000-0100-000060000000}"/>
    <hyperlink ref="D24" location="'Winst- en verliesrek.'!A115" display="Overige bedrijfskosten" xr:uid="{00000000-0004-0000-0100-000061000000}"/>
    <hyperlink ref="E24" location="'Winst- en verliesrek.'!A117" display="Honorarium accountant" xr:uid="{00000000-0004-0000-0100-000062000000}"/>
    <hyperlink ref="H24" location="'Winst- en verliesrek.'!A141" display="Verkoopkosten" xr:uid="{00000000-0004-0000-0100-000063000000}"/>
    <hyperlink ref="I24" location="'Winst- en verliesrek.'!A142" display="Algemene beheerkosten" xr:uid="{00000000-0004-0000-0100-000064000000}"/>
    <hyperlink ref="D25" location="'Winst- en verliesrek.'!A143" display="Lonen en salarissen, sociale lasten en pensioenlasten" xr:uid="{00000000-0004-0000-0100-000065000000}"/>
    <hyperlink ref="D29" location="Kasstroomoverzicht!A6" display="Algemeen" xr:uid="{00000000-0004-0000-0100-000066000000}"/>
    <hyperlink ref="B30" location="Bestuursverslag!A6" display="Bestuursverslag" xr:uid="{00000000-0004-0000-0100-000067000000}"/>
    <hyperlink ref="D30" location="Bestuursverslag!A6" display="Algemeen" xr:uid="{00000000-0004-0000-0100-000068000000}"/>
    <hyperlink ref="B33" location="'Overige toelichtingen'!A6" display="Overige toelichtingen" xr:uid="{00000000-0004-0000-0100-000069000000}"/>
    <hyperlink ref="B35" location="Microrechtspersonen!A6" display="Microrechtspersonen" xr:uid="{00000000-0004-0000-0100-00006A000000}"/>
    <hyperlink ref="B39" location="Concernverhoudingen!A6" display="Concernverhoudingen" xr:uid="{00000000-0004-0000-0100-00006B000000}"/>
    <hyperlink ref="D39" location="Concernverhoudingen!A6" display="Algemeen" xr:uid="{00000000-0004-0000-0100-00006C000000}"/>
    <hyperlink ref="E39" location="Concernverhoudingen!A37" display="Consolidatieplicht" xr:uid="{00000000-0004-0000-0100-00006D000000}"/>
    <hyperlink ref="F39" location="Concernverhoudingen!A42" display="Joint ventures" xr:uid="{00000000-0004-0000-0100-00006E000000}"/>
    <hyperlink ref="G39" location="Concernverhoudingen!A46" display="Consoldatietechniek" xr:uid="{00000000-0004-0000-0100-00006F000000}"/>
    <hyperlink ref="H39" location="Concernverhoudingen!A68" display="Consolidatievrijstellingen en vereenvoudigingen" xr:uid="{00000000-0004-0000-0100-000070000000}"/>
    <hyperlink ref="F40" location="'Financiële instrumenten'!A102" display="Risicobeheer" xr:uid="{00000000-0004-0000-0100-000071000000}"/>
    <hyperlink ref="G40" location="'Financiële instrumenten'!A106" display="Ineffectiviteit kostprijshedge-accounting" xr:uid="{00000000-0004-0000-0100-000072000000}"/>
    <hyperlink ref="D8" location="'Immateriële vaste activa'!A7" display="Immateriële vaste activa algemeen" xr:uid="{00000000-0004-0000-0100-000073000000}"/>
    <hyperlink ref="G37" location="'Commerciële stichtingen en ver.'!A25" display="Beloning bestuurders" xr:uid="{00000000-0004-0000-0100-000074000000}"/>
    <hyperlink ref="D14" location="'Liquide middelen'!A6" display="Algemeen" xr:uid="{00000000-0004-0000-0100-000075000000}"/>
    <hyperlink ref="D15" location="'Niet in de balans opgen activa'!A6" display="Algemeen" xr:uid="{00000000-0004-0000-0100-000076000000}"/>
    <hyperlink ref="I39" location="Concernverhoudingen!A87" display="Te verschaffen informatie over deelnemingen " xr:uid="{00000000-0004-0000-0100-000077000000}"/>
    <hyperlink ref="B41" location="Duurzaamheid!A1" display="Duurzaamheid" xr:uid="{40954814-CCF2-44C9-B83B-652BF6514755}"/>
    <hyperlink ref="H6" location="'Grondslagen en uitgangspunten'!A88" display="Cryptocurrencies" xr:uid="{801DB689-547D-473E-88AF-5B15A20AFFCC}"/>
    <hyperlink ref="E29" location="Kasstroomoverzicht!A12" display="Onderdelen" xr:uid="{BEAA5F50-CEB6-41C0-8515-4F6E33E433CC}"/>
    <hyperlink ref="F29" location="Kasstroomoverzicht!A16" display="Directe en indirecte methode operationele kasstroom" xr:uid="{3DFD84A6-E227-40EB-A28C-039EFDD44E0D}"/>
    <hyperlink ref="G29" location="Kasstroomoverzicht!A35" display="Toelichting op het kasstroomoverzicht" xr:uid="{39C13D85-56CB-41F7-92FA-915062D0270F}"/>
    <hyperlink ref="D41" location="Duurzaamheid!A6" display="Duurzaamheidsverslaggeving" xr:uid="{53CFFB79-0CB0-4EE3-882B-2A6A14D3B460}"/>
  </hyperlinks>
  <pageMargins left="0.75" right="0.75" top="1" bottom="1" header="0.5" footer="0.5"/>
  <pageSetup paperSize="9" scale="68" fitToHeight="100" orientation="landscape" r:id="rId2"/>
  <headerFooter alignWithMargins="0"/>
  <drawing r:id="rId3"/>
  <legacyDrawing r:id="rId4"/>
  <controls>
    <mc:AlternateContent xmlns:mc="http://schemas.openxmlformats.org/markup-compatibility/2006">
      <mc:Choice Requires="x14">
        <control shapeId="1478" r:id="rId5" name="CheckBox35">
          <controlPr defaultSize="0" autoLine="0" autoPict="0" r:id="rId6">
            <anchor moveWithCells="1">
              <from>
                <xdr:col>2</xdr:col>
                <xdr:colOff>95250</xdr:colOff>
                <xdr:row>45</xdr:row>
                <xdr:rowOff>19050</xdr:rowOff>
              </from>
              <to>
                <xdr:col>2</xdr:col>
                <xdr:colOff>228600</xdr:colOff>
                <xdr:row>45</xdr:row>
                <xdr:rowOff>165100</xdr:rowOff>
              </to>
            </anchor>
          </controlPr>
        </control>
      </mc:Choice>
      <mc:Fallback>
        <control shapeId="1478" r:id="rId5" name="CheckBox35"/>
      </mc:Fallback>
    </mc:AlternateContent>
    <mc:AlternateContent xmlns:mc="http://schemas.openxmlformats.org/markup-compatibility/2006">
      <mc:Choice Requires="x14">
        <control shapeId="1443" r:id="rId7" name="CheckBox1">
          <controlPr defaultSize="0" autoLine="0" r:id="rId8">
            <anchor moveWithCells="1">
              <from>
                <xdr:col>2</xdr:col>
                <xdr:colOff>95250</xdr:colOff>
                <xdr:row>5</xdr:row>
                <xdr:rowOff>31750</xdr:rowOff>
              </from>
              <to>
                <xdr:col>2</xdr:col>
                <xdr:colOff>228600</xdr:colOff>
                <xdr:row>5</xdr:row>
                <xdr:rowOff>171450</xdr:rowOff>
              </to>
            </anchor>
          </controlPr>
        </control>
      </mc:Choice>
      <mc:Fallback>
        <control shapeId="1443" r:id="rId7" name="CheckBox1"/>
      </mc:Fallback>
    </mc:AlternateContent>
    <mc:AlternateContent xmlns:mc="http://schemas.openxmlformats.org/markup-compatibility/2006">
      <mc:Choice Requires="x14">
        <control shapeId="1444" r:id="rId9" name="CheckBox2">
          <controlPr defaultSize="0" autoLine="0" r:id="rId10">
            <anchor moveWithCells="1">
              <from>
                <xdr:col>2</xdr:col>
                <xdr:colOff>95250</xdr:colOff>
                <xdr:row>7</xdr:row>
                <xdr:rowOff>31750</xdr:rowOff>
              </from>
              <to>
                <xdr:col>2</xdr:col>
                <xdr:colOff>228600</xdr:colOff>
                <xdr:row>7</xdr:row>
                <xdr:rowOff>171450</xdr:rowOff>
              </to>
            </anchor>
          </controlPr>
        </control>
      </mc:Choice>
      <mc:Fallback>
        <control shapeId="1444" r:id="rId9" name="CheckBox2"/>
      </mc:Fallback>
    </mc:AlternateContent>
    <mc:AlternateContent xmlns:mc="http://schemas.openxmlformats.org/markup-compatibility/2006">
      <mc:Choice Requires="x14">
        <control shapeId="1445" r:id="rId11" name="CheckBox3">
          <controlPr defaultSize="0" autoLine="0" r:id="rId12">
            <anchor moveWithCells="1">
              <from>
                <xdr:col>2</xdr:col>
                <xdr:colOff>95250</xdr:colOff>
                <xdr:row>8</xdr:row>
                <xdr:rowOff>31750</xdr:rowOff>
              </from>
              <to>
                <xdr:col>2</xdr:col>
                <xdr:colOff>228600</xdr:colOff>
                <xdr:row>8</xdr:row>
                <xdr:rowOff>171450</xdr:rowOff>
              </to>
            </anchor>
          </controlPr>
        </control>
      </mc:Choice>
      <mc:Fallback>
        <control shapeId="1445" r:id="rId11" name="CheckBox3"/>
      </mc:Fallback>
    </mc:AlternateContent>
    <mc:AlternateContent xmlns:mc="http://schemas.openxmlformats.org/markup-compatibility/2006">
      <mc:Choice Requires="x14">
        <control shapeId="1446" r:id="rId13" name="CheckBox4">
          <controlPr defaultSize="0" autoLine="0" r:id="rId14">
            <anchor moveWithCells="1">
              <from>
                <xdr:col>2</xdr:col>
                <xdr:colOff>95250</xdr:colOff>
                <xdr:row>9</xdr:row>
                <xdr:rowOff>31750</xdr:rowOff>
              </from>
              <to>
                <xdr:col>2</xdr:col>
                <xdr:colOff>228600</xdr:colOff>
                <xdr:row>9</xdr:row>
                <xdr:rowOff>171450</xdr:rowOff>
              </to>
            </anchor>
          </controlPr>
        </control>
      </mc:Choice>
      <mc:Fallback>
        <control shapeId="1446" r:id="rId13" name="CheckBox4"/>
      </mc:Fallback>
    </mc:AlternateContent>
    <mc:AlternateContent xmlns:mc="http://schemas.openxmlformats.org/markup-compatibility/2006">
      <mc:Choice Requires="x14">
        <control shapeId="1447" r:id="rId15" name="CheckBox5">
          <controlPr defaultSize="0" autoLine="0" r:id="rId16">
            <anchor moveWithCells="1">
              <from>
                <xdr:col>2</xdr:col>
                <xdr:colOff>95250</xdr:colOff>
                <xdr:row>10</xdr:row>
                <xdr:rowOff>31750</xdr:rowOff>
              </from>
              <to>
                <xdr:col>2</xdr:col>
                <xdr:colOff>228600</xdr:colOff>
                <xdr:row>10</xdr:row>
                <xdr:rowOff>171450</xdr:rowOff>
              </to>
            </anchor>
          </controlPr>
        </control>
      </mc:Choice>
      <mc:Fallback>
        <control shapeId="1447" r:id="rId15" name="CheckBox5"/>
      </mc:Fallback>
    </mc:AlternateContent>
    <mc:AlternateContent xmlns:mc="http://schemas.openxmlformats.org/markup-compatibility/2006">
      <mc:Choice Requires="x14">
        <control shapeId="1448" r:id="rId17" name="CheckBox6">
          <controlPr defaultSize="0" autoLine="0" r:id="rId18">
            <anchor moveWithCells="1">
              <from>
                <xdr:col>2</xdr:col>
                <xdr:colOff>95250</xdr:colOff>
                <xdr:row>11</xdr:row>
                <xdr:rowOff>31750</xdr:rowOff>
              </from>
              <to>
                <xdr:col>2</xdr:col>
                <xdr:colOff>228600</xdr:colOff>
                <xdr:row>11</xdr:row>
                <xdr:rowOff>171450</xdr:rowOff>
              </to>
            </anchor>
          </controlPr>
        </control>
      </mc:Choice>
      <mc:Fallback>
        <control shapeId="1448" r:id="rId17" name="CheckBox6"/>
      </mc:Fallback>
    </mc:AlternateContent>
    <mc:AlternateContent xmlns:mc="http://schemas.openxmlformats.org/markup-compatibility/2006">
      <mc:Choice Requires="x14">
        <control shapeId="1449" r:id="rId19" name="CheckBox7">
          <controlPr defaultSize="0" autoLine="0" r:id="rId20">
            <anchor moveWithCells="1">
              <from>
                <xdr:col>2</xdr:col>
                <xdr:colOff>95250</xdr:colOff>
                <xdr:row>12</xdr:row>
                <xdr:rowOff>19050</xdr:rowOff>
              </from>
              <to>
                <xdr:col>2</xdr:col>
                <xdr:colOff>228600</xdr:colOff>
                <xdr:row>12</xdr:row>
                <xdr:rowOff>165100</xdr:rowOff>
              </to>
            </anchor>
          </controlPr>
        </control>
      </mc:Choice>
      <mc:Fallback>
        <control shapeId="1449" r:id="rId19" name="CheckBox7"/>
      </mc:Fallback>
    </mc:AlternateContent>
    <mc:AlternateContent xmlns:mc="http://schemas.openxmlformats.org/markup-compatibility/2006">
      <mc:Choice Requires="x14">
        <control shapeId="1450" r:id="rId21" name="CheckBox8">
          <controlPr defaultSize="0" autoLine="0" r:id="rId22">
            <anchor moveWithCells="1">
              <from>
                <xdr:col>2</xdr:col>
                <xdr:colOff>95250</xdr:colOff>
                <xdr:row>13</xdr:row>
                <xdr:rowOff>31750</xdr:rowOff>
              </from>
              <to>
                <xdr:col>2</xdr:col>
                <xdr:colOff>228600</xdr:colOff>
                <xdr:row>13</xdr:row>
                <xdr:rowOff>171450</xdr:rowOff>
              </to>
            </anchor>
          </controlPr>
        </control>
      </mc:Choice>
      <mc:Fallback>
        <control shapeId="1450" r:id="rId21" name="CheckBox8"/>
      </mc:Fallback>
    </mc:AlternateContent>
    <mc:AlternateContent xmlns:mc="http://schemas.openxmlformats.org/markup-compatibility/2006">
      <mc:Choice Requires="x14">
        <control shapeId="1451" r:id="rId23" name="CheckBox9">
          <controlPr defaultSize="0" autoLine="0" r:id="rId24">
            <anchor moveWithCells="1">
              <from>
                <xdr:col>2</xdr:col>
                <xdr:colOff>95250</xdr:colOff>
                <xdr:row>14</xdr:row>
                <xdr:rowOff>19050</xdr:rowOff>
              </from>
              <to>
                <xdr:col>2</xdr:col>
                <xdr:colOff>228600</xdr:colOff>
                <xdr:row>14</xdr:row>
                <xdr:rowOff>165100</xdr:rowOff>
              </to>
            </anchor>
          </controlPr>
        </control>
      </mc:Choice>
      <mc:Fallback>
        <control shapeId="1451" r:id="rId23" name="CheckBox9"/>
      </mc:Fallback>
    </mc:AlternateContent>
    <mc:AlternateContent xmlns:mc="http://schemas.openxmlformats.org/markup-compatibility/2006">
      <mc:Choice Requires="x14">
        <control shapeId="1452" r:id="rId25" name="CheckBox10">
          <controlPr defaultSize="0" autoLine="0" r:id="rId26">
            <anchor moveWithCells="1">
              <from>
                <xdr:col>2</xdr:col>
                <xdr:colOff>95250</xdr:colOff>
                <xdr:row>15</xdr:row>
                <xdr:rowOff>31750</xdr:rowOff>
              </from>
              <to>
                <xdr:col>2</xdr:col>
                <xdr:colOff>228600</xdr:colOff>
                <xdr:row>15</xdr:row>
                <xdr:rowOff>171450</xdr:rowOff>
              </to>
            </anchor>
          </controlPr>
        </control>
      </mc:Choice>
      <mc:Fallback>
        <control shapeId="1452" r:id="rId25" name="CheckBox10"/>
      </mc:Fallback>
    </mc:AlternateContent>
    <mc:AlternateContent xmlns:mc="http://schemas.openxmlformats.org/markup-compatibility/2006">
      <mc:Choice Requires="x14">
        <control shapeId="1453" r:id="rId27" name="CheckBox11">
          <controlPr defaultSize="0" autoLine="0" r:id="rId28">
            <anchor moveWithCells="1">
              <from>
                <xdr:col>2</xdr:col>
                <xdr:colOff>95250</xdr:colOff>
                <xdr:row>17</xdr:row>
                <xdr:rowOff>31750</xdr:rowOff>
              </from>
              <to>
                <xdr:col>2</xdr:col>
                <xdr:colOff>228600</xdr:colOff>
                <xdr:row>17</xdr:row>
                <xdr:rowOff>171450</xdr:rowOff>
              </to>
            </anchor>
          </controlPr>
        </control>
      </mc:Choice>
      <mc:Fallback>
        <control shapeId="1453" r:id="rId27" name="CheckBox11"/>
      </mc:Fallback>
    </mc:AlternateContent>
    <mc:AlternateContent xmlns:mc="http://schemas.openxmlformats.org/markup-compatibility/2006">
      <mc:Choice Requires="x14">
        <control shapeId="1454" r:id="rId29" name="CheckBox12">
          <controlPr defaultSize="0" autoLine="0" r:id="rId30">
            <anchor moveWithCells="1">
              <from>
                <xdr:col>2</xdr:col>
                <xdr:colOff>95250</xdr:colOff>
                <xdr:row>20</xdr:row>
                <xdr:rowOff>19050</xdr:rowOff>
              </from>
              <to>
                <xdr:col>2</xdr:col>
                <xdr:colOff>228600</xdr:colOff>
                <xdr:row>20</xdr:row>
                <xdr:rowOff>165100</xdr:rowOff>
              </to>
            </anchor>
          </controlPr>
        </control>
      </mc:Choice>
      <mc:Fallback>
        <control shapeId="1454" r:id="rId29" name="CheckBox12"/>
      </mc:Fallback>
    </mc:AlternateContent>
    <mc:AlternateContent xmlns:mc="http://schemas.openxmlformats.org/markup-compatibility/2006">
      <mc:Choice Requires="x14">
        <control shapeId="1455" r:id="rId31" name="CheckBox13">
          <controlPr defaultSize="0" autoLine="0" r:id="rId32">
            <anchor moveWithCells="1">
              <from>
                <xdr:col>2</xdr:col>
                <xdr:colOff>95250</xdr:colOff>
                <xdr:row>21</xdr:row>
                <xdr:rowOff>31750</xdr:rowOff>
              </from>
              <to>
                <xdr:col>2</xdr:col>
                <xdr:colOff>228600</xdr:colOff>
                <xdr:row>21</xdr:row>
                <xdr:rowOff>171450</xdr:rowOff>
              </to>
            </anchor>
          </controlPr>
        </control>
      </mc:Choice>
      <mc:Fallback>
        <control shapeId="1455" r:id="rId31" name="CheckBox13"/>
      </mc:Fallback>
    </mc:AlternateContent>
    <mc:AlternateContent xmlns:mc="http://schemas.openxmlformats.org/markup-compatibility/2006">
      <mc:Choice Requires="x14">
        <control shapeId="1456" r:id="rId33" name="CheckBox14">
          <controlPr defaultSize="0" autoLine="0" r:id="rId34">
            <anchor moveWithCells="1">
              <from>
                <xdr:col>2</xdr:col>
                <xdr:colOff>95250</xdr:colOff>
                <xdr:row>22</xdr:row>
                <xdr:rowOff>19050</xdr:rowOff>
              </from>
              <to>
                <xdr:col>2</xdr:col>
                <xdr:colOff>228600</xdr:colOff>
                <xdr:row>22</xdr:row>
                <xdr:rowOff>165100</xdr:rowOff>
              </to>
            </anchor>
          </controlPr>
        </control>
      </mc:Choice>
      <mc:Fallback>
        <control shapeId="1456" r:id="rId33" name="CheckBox14"/>
      </mc:Fallback>
    </mc:AlternateContent>
    <mc:AlternateContent xmlns:mc="http://schemas.openxmlformats.org/markup-compatibility/2006">
      <mc:Choice Requires="x14">
        <control shapeId="1457" r:id="rId35" name="CheckBox15">
          <controlPr defaultSize="0" autoLine="0" r:id="rId36">
            <anchor moveWithCells="1">
              <from>
                <xdr:col>2</xdr:col>
                <xdr:colOff>95250</xdr:colOff>
                <xdr:row>25</xdr:row>
                <xdr:rowOff>31750</xdr:rowOff>
              </from>
              <to>
                <xdr:col>2</xdr:col>
                <xdr:colOff>228600</xdr:colOff>
                <xdr:row>25</xdr:row>
                <xdr:rowOff>171450</xdr:rowOff>
              </to>
            </anchor>
          </controlPr>
        </control>
      </mc:Choice>
      <mc:Fallback>
        <control shapeId="1457" r:id="rId35" name="CheckBox15"/>
      </mc:Fallback>
    </mc:AlternateContent>
    <mc:AlternateContent xmlns:mc="http://schemas.openxmlformats.org/markup-compatibility/2006">
      <mc:Choice Requires="x14">
        <control shapeId="1458" r:id="rId37" name="CheckBox16">
          <controlPr defaultSize="0" autoLine="0" r:id="rId38">
            <anchor moveWithCells="1">
              <from>
                <xdr:col>2</xdr:col>
                <xdr:colOff>95250</xdr:colOff>
                <xdr:row>26</xdr:row>
                <xdr:rowOff>19050</xdr:rowOff>
              </from>
              <to>
                <xdr:col>2</xdr:col>
                <xdr:colOff>228600</xdr:colOff>
                <xdr:row>26</xdr:row>
                <xdr:rowOff>165100</xdr:rowOff>
              </to>
            </anchor>
          </controlPr>
        </control>
      </mc:Choice>
      <mc:Fallback>
        <control shapeId="1458" r:id="rId37" name="CheckBox16"/>
      </mc:Fallback>
    </mc:AlternateContent>
    <mc:AlternateContent xmlns:mc="http://schemas.openxmlformats.org/markup-compatibility/2006">
      <mc:Choice Requires="x14">
        <control shapeId="1459" r:id="rId39" name="CheckBox17">
          <controlPr defaultSize="0" autoLine="0" r:id="rId40">
            <anchor moveWithCells="1">
              <from>
                <xdr:col>2</xdr:col>
                <xdr:colOff>95250</xdr:colOff>
                <xdr:row>27</xdr:row>
                <xdr:rowOff>31750</xdr:rowOff>
              </from>
              <to>
                <xdr:col>2</xdr:col>
                <xdr:colOff>228600</xdr:colOff>
                <xdr:row>27</xdr:row>
                <xdr:rowOff>171450</xdr:rowOff>
              </to>
            </anchor>
          </controlPr>
        </control>
      </mc:Choice>
      <mc:Fallback>
        <control shapeId="1459" r:id="rId39" name="CheckBox17"/>
      </mc:Fallback>
    </mc:AlternateContent>
    <mc:AlternateContent xmlns:mc="http://schemas.openxmlformats.org/markup-compatibility/2006">
      <mc:Choice Requires="x14">
        <control shapeId="1460" r:id="rId41" name="CheckBox18">
          <controlPr defaultSize="0" autoLine="0" r:id="rId42">
            <anchor moveWithCells="1">
              <from>
                <xdr:col>2</xdr:col>
                <xdr:colOff>95250</xdr:colOff>
                <xdr:row>28</xdr:row>
                <xdr:rowOff>19050</xdr:rowOff>
              </from>
              <to>
                <xdr:col>2</xdr:col>
                <xdr:colOff>228600</xdr:colOff>
                <xdr:row>28</xdr:row>
                <xdr:rowOff>165100</xdr:rowOff>
              </to>
            </anchor>
          </controlPr>
        </control>
      </mc:Choice>
      <mc:Fallback>
        <control shapeId="1460" r:id="rId41" name="CheckBox18"/>
      </mc:Fallback>
    </mc:AlternateContent>
    <mc:AlternateContent xmlns:mc="http://schemas.openxmlformats.org/markup-compatibility/2006">
      <mc:Choice Requires="x14">
        <control shapeId="1461" r:id="rId43" name="CheckBox19">
          <controlPr defaultSize="0" autoLine="0" r:id="rId44">
            <anchor moveWithCells="1">
              <from>
                <xdr:col>2</xdr:col>
                <xdr:colOff>95250</xdr:colOff>
                <xdr:row>29</xdr:row>
                <xdr:rowOff>19050</xdr:rowOff>
              </from>
              <to>
                <xdr:col>2</xdr:col>
                <xdr:colOff>228600</xdr:colOff>
                <xdr:row>29</xdr:row>
                <xdr:rowOff>165100</xdr:rowOff>
              </to>
            </anchor>
          </controlPr>
        </control>
      </mc:Choice>
      <mc:Fallback>
        <control shapeId="1461" r:id="rId43" name="CheckBox19"/>
      </mc:Fallback>
    </mc:AlternateContent>
    <mc:AlternateContent xmlns:mc="http://schemas.openxmlformats.org/markup-compatibility/2006">
      <mc:Choice Requires="x14">
        <control shapeId="1462" r:id="rId45" name="CheckBox20">
          <controlPr defaultSize="0" autoLine="0" r:id="rId46">
            <anchor moveWithCells="1">
              <from>
                <xdr:col>2</xdr:col>
                <xdr:colOff>95250</xdr:colOff>
                <xdr:row>30</xdr:row>
                <xdr:rowOff>31750</xdr:rowOff>
              </from>
              <to>
                <xdr:col>2</xdr:col>
                <xdr:colOff>228600</xdr:colOff>
                <xdr:row>30</xdr:row>
                <xdr:rowOff>171450</xdr:rowOff>
              </to>
            </anchor>
          </controlPr>
        </control>
      </mc:Choice>
      <mc:Fallback>
        <control shapeId="1462" r:id="rId45" name="CheckBox20"/>
      </mc:Fallback>
    </mc:AlternateContent>
    <mc:AlternateContent xmlns:mc="http://schemas.openxmlformats.org/markup-compatibility/2006">
      <mc:Choice Requires="x14">
        <control shapeId="1463" r:id="rId47" name="CheckBox21">
          <controlPr defaultSize="0" autoLine="0" r:id="rId48">
            <anchor moveWithCells="1">
              <from>
                <xdr:col>2</xdr:col>
                <xdr:colOff>95250</xdr:colOff>
                <xdr:row>31</xdr:row>
                <xdr:rowOff>31750</xdr:rowOff>
              </from>
              <to>
                <xdr:col>2</xdr:col>
                <xdr:colOff>228600</xdr:colOff>
                <xdr:row>31</xdr:row>
                <xdr:rowOff>171450</xdr:rowOff>
              </to>
            </anchor>
          </controlPr>
        </control>
      </mc:Choice>
      <mc:Fallback>
        <control shapeId="1463" r:id="rId47" name="CheckBox21"/>
      </mc:Fallback>
    </mc:AlternateContent>
    <mc:AlternateContent xmlns:mc="http://schemas.openxmlformats.org/markup-compatibility/2006">
      <mc:Choice Requires="x14">
        <control shapeId="1464" r:id="rId49" name="CheckBox22">
          <controlPr defaultSize="0" autoLine="0" r:id="rId50">
            <anchor moveWithCells="1">
              <from>
                <xdr:col>2</xdr:col>
                <xdr:colOff>95250</xdr:colOff>
                <xdr:row>32</xdr:row>
                <xdr:rowOff>31750</xdr:rowOff>
              </from>
              <to>
                <xdr:col>2</xdr:col>
                <xdr:colOff>228600</xdr:colOff>
                <xdr:row>32</xdr:row>
                <xdr:rowOff>171450</xdr:rowOff>
              </to>
            </anchor>
          </controlPr>
        </control>
      </mc:Choice>
      <mc:Fallback>
        <control shapeId="1464" r:id="rId49" name="CheckBox22"/>
      </mc:Fallback>
    </mc:AlternateContent>
    <mc:AlternateContent xmlns:mc="http://schemas.openxmlformats.org/markup-compatibility/2006">
      <mc:Choice Requires="x14">
        <control shapeId="1465" r:id="rId51" name="CheckBox23">
          <controlPr defaultSize="0" autoLine="0" r:id="rId52">
            <anchor moveWithCells="1">
              <from>
                <xdr:col>2</xdr:col>
                <xdr:colOff>95250</xdr:colOff>
                <xdr:row>33</xdr:row>
                <xdr:rowOff>31750</xdr:rowOff>
              </from>
              <to>
                <xdr:col>2</xdr:col>
                <xdr:colOff>228600</xdr:colOff>
                <xdr:row>33</xdr:row>
                <xdr:rowOff>171450</xdr:rowOff>
              </to>
            </anchor>
          </controlPr>
        </control>
      </mc:Choice>
      <mc:Fallback>
        <control shapeId="1465" r:id="rId51" name="CheckBox23"/>
      </mc:Fallback>
    </mc:AlternateContent>
    <mc:AlternateContent xmlns:mc="http://schemas.openxmlformats.org/markup-compatibility/2006">
      <mc:Choice Requires="x14">
        <control shapeId="1466" r:id="rId53" name="CheckBox24">
          <controlPr defaultSize="0" autoLine="0" r:id="rId54">
            <anchor moveWithCells="1">
              <from>
                <xdr:col>2</xdr:col>
                <xdr:colOff>95250</xdr:colOff>
                <xdr:row>34</xdr:row>
                <xdr:rowOff>31750</xdr:rowOff>
              </from>
              <to>
                <xdr:col>2</xdr:col>
                <xdr:colOff>228600</xdr:colOff>
                <xdr:row>34</xdr:row>
                <xdr:rowOff>171450</xdr:rowOff>
              </to>
            </anchor>
          </controlPr>
        </control>
      </mc:Choice>
      <mc:Fallback>
        <control shapeId="1466" r:id="rId53" name="CheckBox24"/>
      </mc:Fallback>
    </mc:AlternateContent>
    <mc:AlternateContent xmlns:mc="http://schemas.openxmlformats.org/markup-compatibility/2006">
      <mc:Choice Requires="x14">
        <control shapeId="1467" r:id="rId55" name="CheckBox25">
          <controlPr defaultSize="0" autoLine="0" r:id="rId56">
            <anchor moveWithCells="1">
              <from>
                <xdr:col>2</xdr:col>
                <xdr:colOff>95250</xdr:colOff>
                <xdr:row>35</xdr:row>
                <xdr:rowOff>31750</xdr:rowOff>
              </from>
              <to>
                <xdr:col>2</xdr:col>
                <xdr:colOff>228600</xdr:colOff>
                <xdr:row>35</xdr:row>
                <xdr:rowOff>171450</xdr:rowOff>
              </to>
            </anchor>
          </controlPr>
        </control>
      </mc:Choice>
      <mc:Fallback>
        <control shapeId="1467" r:id="rId55" name="CheckBox25"/>
      </mc:Fallback>
    </mc:AlternateContent>
    <mc:AlternateContent xmlns:mc="http://schemas.openxmlformats.org/markup-compatibility/2006">
      <mc:Choice Requires="x14">
        <control shapeId="1468" r:id="rId57" name="CheckBox26">
          <controlPr defaultSize="0" autoLine="0" r:id="rId58">
            <anchor moveWithCells="1">
              <from>
                <xdr:col>2</xdr:col>
                <xdr:colOff>95250</xdr:colOff>
                <xdr:row>36</xdr:row>
                <xdr:rowOff>31750</xdr:rowOff>
              </from>
              <to>
                <xdr:col>2</xdr:col>
                <xdr:colOff>228600</xdr:colOff>
                <xdr:row>36</xdr:row>
                <xdr:rowOff>171450</xdr:rowOff>
              </to>
            </anchor>
          </controlPr>
        </control>
      </mc:Choice>
      <mc:Fallback>
        <control shapeId="1468" r:id="rId57" name="CheckBox26"/>
      </mc:Fallback>
    </mc:AlternateContent>
    <mc:AlternateContent xmlns:mc="http://schemas.openxmlformats.org/markup-compatibility/2006">
      <mc:Choice Requires="x14">
        <control shapeId="1469" r:id="rId59" name="CheckBox27">
          <controlPr defaultSize="0" autoLine="0" r:id="rId60">
            <anchor moveWithCells="1">
              <from>
                <xdr:col>2</xdr:col>
                <xdr:colOff>95250</xdr:colOff>
                <xdr:row>37</xdr:row>
                <xdr:rowOff>31750</xdr:rowOff>
              </from>
              <to>
                <xdr:col>2</xdr:col>
                <xdr:colOff>228600</xdr:colOff>
                <xdr:row>37</xdr:row>
                <xdr:rowOff>171450</xdr:rowOff>
              </to>
            </anchor>
          </controlPr>
        </control>
      </mc:Choice>
      <mc:Fallback>
        <control shapeId="1469" r:id="rId59" name="CheckBox27"/>
      </mc:Fallback>
    </mc:AlternateContent>
    <mc:AlternateContent xmlns:mc="http://schemas.openxmlformats.org/markup-compatibility/2006">
      <mc:Choice Requires="x14">
        <control shapeId="1470" r:id="rId61" name="CheckBox28">
          <controlPr defaultSize="0" autoLine="0" r:id="rId62">
            <anchor moveWithCells="1">
              <from>
                <xdr:col>2</xdr:col>
                <xdr:colOff>95250</xdr:colOff>
                <xdr:row>38</xdr:row>
                <xdr:rowOff>31750</xdr:rowOff>
              </from>
              <to>
                <xdr:col>2</xdr:col>
                <xdr:colOff>228600</xdr:colOff>
                <xdr:row>38</xdr:row>
                <xdr:rowOff>171450</xdr:rowOff>
              </to>
            </anchor>
          </controlPr>
        </control>
      </mc:Choice>
      <mc:Fallback>
        <control shapeId="1470" r:id="rId61" name="CheckBox28"/>
      </mc:Fallback>
    </mc:AlternateContent>
    <mc:AlternateContent xmlns:mc="http://schemas.openxmlformats.org/markup-compatibility/2006">
      <mc:Choice Requires="x14">
        <control shapeId="1471" r:id="rId63" name="CheckBox29">
          <controlPr defaultSize="0" autoLine="0" r:id="rId64">
            <anchor moveWithCells="1">
              <from>
                <xdr:col>2</xdr:col>
                <xdr:colOff>95250</xdr:colOff>
                <xdr:row>39</xdr:row>
                <xdr:rowOff>19050</xdr:rowOff>
              </from>
              <to>
                <xdr:col>2</xdr:col>
                <xdr:colOff>228600</xdr:colOff>
                <xdr:row>39</xdr:row>
                <xdr:rowOff>165100</xdr:rowOff>
              </to>
            </anchor>
          </controlPr>
        </control>
      </mc:Choice>
      <mc:Fallback>
        <control shapeId="1471" r:id="rId63" name="CheckBox29"/>
      </mc:Fallback>
    </mc:AlternateContent>
    <mc:AlternateContent xmlns:mc="http://schemas.openxmlformats.org/markup-compatibility/2006">
      <mc:Choice Requires="x14">
        <control shapeId="1472" r:id="rId65" name="CheckBox30">
          <controlPr defaultSize="0" autoLine="0" r:id="rId66">
            <anchor moveWithCells="1">
              <from>
                <xdr:col>2</xdr:col>
                <xdr:colOff>95250</xdr:colOff>
                <xdr:row>40</xdr:row>
                <xdr:rowOff>19050</xdr:rowOff>
              </from>
              <to>
                <xdr:col>2</xdr:col>
                <xdr:colOff>228600</xdr:colOff>
                <xdr:row>40</xdr:row>
                <xdr:rowOff>165100</xdr:rowOff>
              </to>
            </anchor>
          </controlPr>
        </control>
      </mc:Choice>
      <mc:Fallback>
        <control shapeId="1472" r:id="rId65" name="CheckBox30"/>
      </mc:Fallback>
    </mc:AlternateContent>
    <mc:AlternateContent xmlns:mc="http://schemas.openxmlformats.org/markup-compatibility/2006">
      <mc:Choice Requires="x14">
        <control shapeId="1473" r:id="rId67" name="CheckBox31">
          <controlPr defaultSize="0" autoLine="0" r:id="rId68">
            <anchor moveWithCells="1">
              <from>
                <xdr:col>2</xdr:col>
                <xdr:colOff>95250</xdr:colOff>
                <xdr:row>41</xdr:row>
                <xdr:rowOff>19050</xdr:rowOff>
              </from>
              <to>
                <xdr:col>2</xdr:col>
                <xdr:colOff>228600</xdr:colOff>
                <xdr:row>41</xdr:row>
                <xdr:rowOff>165100</xdr:rowOff>
              </to>
            </anchor>
          </controlPr>
        </control>
      </mc:Choice>
      <mc:Fallback>
        <control shapeId="1473" r:id="rId67" name="CheckBox31"/>
      </mc:Fallback>
    </mc:AlternateContent>
    <mc:AlternateContent xmlns:mc="http://schemas.openxmlformats.org/markup-compatibility/2006">
      <mc:Choice Requires="x14">
        <control shapeId="1474" r:id="rId69" name="CheckBox32">
          <controlPr defaultSize="0" autoLine="0" r:id="rId70">
            <anchor moveWithCells="1">
              <from>
                <xdr:col>2</xdr:col>
                <xdr:colOff>95250</xdr:colOff>
                <xdr:row>42</xdr:row>
                <xdr:rowOff>19050</xdr:rowOff>
              </from>
              <to>
                <xdr:col>2</xdr:col>
                <xdr:colOff>228600</xdr:colOff>
                <xdr:row>42</xdr:row>
                <xdr:rowOff>165100</xdr:rowOff>
              </to>
            </anchor>
          </controlPr>
        </control>
      </mc:Choice>
      <mc:Fallback>
        <control shapeId="1474" r:id="rId69" name="CheckBox32"/>
      </mc:Fallback>
    </mc:AlternateContent>
    <mc:AlternateContent xmlns:mc="http://schemas.openxmlformats.org/markup-compatibility/2006">
      <mc:Choice Requires="x14">
        <control shapeId="1475" r:id="rId71" name="CheckBox33">
          <controlPr defaultSize="0" autoLine="0" r:id="rId72">
            <anchor moveWithCells="1">
              <from>
                <xdr:col>2</xdr:col>
                <xdr:colOff>95250</xdr:colOff>
                <xdr:row>43</xdr:row>
                <xdr:rowOff>12700</xdr:rowOff>
              </from>
              <to>
                <xdr:col>2</xdr:col>
                <xdr:colOff>228600</xdr:colOff>
                <xdr:row>43</xdr:row>
                <xdr:rowOff>152400</xdr:rowOff>
              </to>
            </anchor>
          </controlPr>
        </control>
      </mc:Choice>
      <mc:Fallback>
        <control shapeId="1475" r:id="rId71" name="CheckBox33"/>
      </mc:Fallback>
    </mc:AlternateContent>
    <mc:AlternateContent xmlns:mc="http://schemas.openxmlformats.org/markup-compatibility/2006">
      <mc:Choice Requires="x14">
        <control shapeId="1477" r:id="rId73" name="CheckBox34">
          <controlPr defaultSize="0" autoLine="0" r:id="rId74">
            <anchor moveWithCells="1">
              <from>
                <xdr:col>2</xdr:col>
                <xdr:colOff>95250</xdr:colOff>
                <xdr:row>44</xdr:row>
                <xdr:rowOff>19050</xdr:rowOff>
              </from>
              <to>
                <xdr:col>2</xdr:col>
                <xdr:colOff>228600</xdr:colOff>
                <xdr:row>44</xdr:row>
                <xdr:rowOff>165100</xdr:rowOff>
              </to>
            </anchor>
          </controlPr>
        </control>
      </mc:Choice>
      <mc:Fallback>
        <control shapeId="1477" r:id="rId73" name="CheckBox3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5">
    <tabColor rgb="FF951B81"/>
    <pageSetUpPr fitToPage="1"/>
  </sheetPr>
  <dimension ref="A1:E73"/>
  <sheetViews>
    <sheetView showGridLines="0" topLeftCell="A17" zoomScaleNormal="100" workbookViewId="0">
      <selection activeCell="A2" sqref="A2"/>
    </sheetView>
  </sheetViews>
  <sheetFormatPr defaultColWidth="9.1796875" defaultRowHeight="12.5" x14ac:dyDescent="0.25"/>
  <cols>
    <col min="1" max="1" width="60.7265625" style="70" customWidth="1"/>
    <col min="2" max="2" width="70.453125" style="70" bestFit="1" customWidth="1"/>
    <col min="3" max="3" width="12.7265625" style="70" customWidth="1"/>
    <col min="4" max="4" width="10.7265625" style="70" customWidth="1"/>
    <col min="5" max="5" width="18.81640625" style="70" bestFit="1" customWidth="1"/>
    <col min="6" max="6" width="10.7265625" style="1" customWidth="1"/>
    <col min="7" max="16384" width="9.1796875" style="1"/>
  </cols>
  <sheetData>
    <row r="1" spans="1:5" s="44" customFormat="1" ht="22.5" x14ac:dyDescent="0.25">
      <c r="A1" s="194" t="s">
        <v>2854</v>
      </c>
      <c r="B1" s="67"/>
      <c r="C1" s="67"/>
      <c r="D1" s="67"/>
      <c r="E1" s="67"/>
    </row>
    <row r="2" spans="1:5" s="45" customFormat="1" ht="15.5" x14ac:dyDescent="0.25">
      <c r="A2" s="193" t="s">
        <v>1098</v>
      </c>
      <c r="B2" s="68"/>
      <c r="C2" s="68"/>
      <c r="D2" s="68"/>
      <c r="E2" s="68"/>
    </row>
    <row r="4" spans="1:5" ht="20.149999999999999" customHeight="1" x14ac:dyDescent="0.25">
      <c r="A4" s="195" t="s">
        <v>85</v>
      </c>
      <c r="B4" s="69"/>
    </row>
    <row r="5" spans="1:5" ht="20.149999999999999" customHeight="1" x14ac:dyDescent="0.25">
      <c r="A5" s="71" t="s">
        <v>84</v>
      </c>
      <c r="B5" s="49"/>
    </row>
    <row r="6" spans="1:5" ht="20.149999999999999" customHeight="1" x14ac:dyDescent="0.25">
      <c r="A6" s="72" t="s">
        <v>86</v>
      </c>
      <c r="B6" s="50"/>
    </row>
    <row r="7" spans="1:5" ht="20.149999999999999" customHeight="1" x14ac:dyDescent="0.25">
      <c r="A7" s="72" t="s">
        <v>208</v>
      </c>
      <c r="B7" s="50"/>
    </row>
    <row r="8" spans="1:5" ht="20.149999999999999" customHeight="1" x14ac:dyDescent="0.25">
      <c r="A8" s="72" t="s">
        <v>207</v>
      </c>
      <c r="B8" s="66" t="str">
        <f>VLOOKUP(A70,A65:B68,2)</f>
        <v>NVT</v>
      </c>
    </row>
    <row r="9" spans="1:5" ht="20.149999999999999" customHeight="1" x14ac:dyDescent="0.25">
      <c r="A9" s="72" t="s">
        <v>87</v>
      </c>
      <c r="B9" s="50"/>
    </row>
    <row r="10" spans="1:5" ht="20.149999999999999" customHeight="1" x14ac:dyDescent="0.25">
      <c r="A10" s="72" t="s">
        <v>88</v>
      </c>
      <c r="B10" s="50"/>
    </row>
    <row r="11" spans="1:5" ht="20.149999999999999" customHeight="1" x14ac:dyDescent="0.25">
      <c r="A11" s="73"/>
      <c r="B11" s="74"/>
    </row>
    <row r="12" spans="1:5" ht="20.149999999999999" customHeight="1" x14ac:dyDescent="0.25"/>
    <row r="13" spans="1:5" ht="20.149999999999999" customHeight="1" x14ac:dyDescent="0.25">
      <c r="A13" s="163" t="s">
        <v>206</v>
      </c>
      <c r="B13" s="164"/>
    </row>
    <row r="14" spans="1:5" ht="20.149999999999999" customHeight="1" x14ac:dyDescent="0.25">
      <c r="A14" s="165" t="s">
        <v>144</v>
      </c>
      <c r="B14" s="166" t="s">
        <v>2786</v>
      </c>
    </row>
    <row r="15" spans="1:5" ht="20.149999999999999" customHeight="1" x14ac:dyDescent="0.25">
      <c r="A15" s="165" t="s">
        <v>2750</v>
      </c>
      <c r="B15" s="167" t="s">
        <v>2765</v>
      </c>
    </row>
    <row r="16" spans="1:5" ht="20.149999999999999" customHeight="1" x14ac:dyDescent="0.25">
      <c r="A16" s="165" t="s">
        <v>2751</v>
      </c>
      <c r="B16" s="167" t="s">
        <v>2787</v>
      </c>
    </row>
    <row r="17" spans="1:2" ht="20.149999999999999" customHeight="1" x14ac:dyDescent="0.25">
      <c r="A17" s="165" t="s">
        <v>2752</v>
      </c>
      <c r="B17" s="167" t="s">
        <v>2766</v>
      </c>
    </row>
    <row r="18" spans="1:2" ht="20.149999999999999" customHeight="1" x14ac:dyDescent="0.25">
      <c r="A18" s="165" t="s">
        <v>2753</v>
      </c>
      <c r="B18" s="167" t="s">
        <v>2767</v>
      </c>
    </row>
    <row r="19" spans="1:2" ht="20.149999999999999" customHeight="1" x14ac:dyDescent="0.25">
      <c r="A19" s="165" t="s">
        <v>2754</v>
      </c>
      <c r="B19" s="167" t="s">
        <v>2768</v>
      </c>
    </row>
    <row r="20" spans="1:2" ht="20.149999999999999" customHeight="1" x14ac:dyDescent="0.25">
      <c r="A20" s="165" t="s">
        <v>2755</v>
      </c>
      <c r="B20" s="167" t="s">
        <v>2769</v>
      </c>
    </row>
    <row r="21" spans="1:2" ht="20.149999999999999" customHeight="1" x14ac:dyDescent="0.25">
      <c r="A21" s="165" t="s">
        <v>2756</v>
      </c>
      <c r="B21" s="167" t="s">
        <v>2770</v>
      </c>
    </row>
    <row r="22" spans="1:2" ht="20.149999999999999" customHeight="1" x14ac:dyDescent="0.25">
      <c r="A22" s="165" t="s">
        <v>469</v>
      </c>
      <c r="B22" s="166" t="s">
        <v>2771</v>
      </c>
    </row>
    <row r="23" spans="1:2" ht="20.149999999999999" customHeight="1" x14ac:dyDescent="0.25">
      <c r="A23" s="165" t="s">
        <v>766</v>
      </c>
      <c r="B23" s="166" t="s">
        <v>2772</v>
      </c>
    </row>
    <row r="24" spans="1:2" ht="20.149999999999999" customHeight="1" x14ac:dyDescent="0.25">
      <c r="A24" s="165" t="s">
        <v>145</v>
      </c>
      <c r="B24" s="166" t="s">
        <v>2773</v>
      </c>
    </row>
    <row r="25" spans="1:2" ht="20.149999999999999" customHeight="1" x14ac:dyDescent="0.25">
      <c r="A25" s="165" t="s">
        <v>209</v>
      </c>
      <c r="B25" s="166" t="s">
        <v>2774</v>
      </c>
    </row>
    <row r="26" spans="1:2" ht="20.149999999999999" customHeight="1" x14ac:dyDescent="0.25">
      <c r="A26" s="165" t="s">
        <v>843</v>
      </c>
      <c r="B26" s="166" t="s">
        <v>2775</v>
      </c>
    </row>
    <row r="27" spans="1:2" ht="20.149999999999999" customHeight="1" x14ac:dyDescent="0.25">
      <c r="A27" s="168" t="s">
        <v>2757</v>
      </c>
      <c r="B27" s="167" t="s">
        <v>2758</v>
      </c>
    </row>
    <row r="28" spans="1:2" ht="20.149999999999999" customHeight="1" x14ac:dyDescent="0.25">
      <c r="A28" s="165" t="s">
        <v>213</v>
      </c>
      <c r="B28" s="166" t="s">
        <v>2776</v>
      </c>
    </row>
    <row r="29" spans="1:2" ht="20.149999999999999" customHeight="1" x14ac:dyDescent="0.25">
      <c r="A29" s="165" t="s">
        <v>214</v>
      </c>
      <c r="B29" s="167" t="s">
        <v>2777</v>
      </c>
    </row>
    <row r="30" spans="1:2" ht="20.149999999999999" customHeight="1" x14ac:dyDescent="0.25">
      <c r="A30" s="165" t="s">
        <v>765</v>
      </c>
      <c r="B30" s="166" t="s">
        <v>2778</v>
      </c>
    </row>
    <row r="31" spans="1:2" ht="20.149999999999999" customHeight="1" x14ac:dyDescent="0.25">
      <c r="A31" s="168" t="s">
        <v>2762</v>
      </c>
      <c r="B31" s="167" t="s">
        <v>2779</v>
      </c>
    </row>
    <row r="32" spans="1:2" ht="20.149999999999999" customHeight="1" x14ac:dyDescent="0.25">
      <c r="A32" s="168" t="s">
        <v>2761</v>
      </c>
      <c r="B32" s="167" t="s">
        <v>2780</v>
      </c>
    </row>
    <row r="33" spans="1:2" ht="20.149999999999999" customHeight="1" x14ac:dyDescent="0.25">
      <c r="A33" s="168" t="s">
        <v>2760</v>
      </c>
      <c r="B33" s="167" t="s">
        <v>2781</v>
      </c>
    </row>
    <row r="34" spans="1:2" ht="20.149999999999999" customHeight="1" x14ac:dyDescent="0.25">
      <c r="A34" s="168" t="s">
        <v>2759</v>
      </c>
      <c r="B34" s="167" t="s">
        <v>2782</v>
      </c>
    </row>
    <row r="35" spans="1:2" ht="20.149999999999999" customHeight="1" x14ac:dyDescent="0.25">
      <c r="A35" s="165" t="s">
        <v>647</v>
      </c>
      <c r="B35" s="166" t="s">
        <v>2783</v>
      </c>
    </row>
    <row r="36" spans="1:2" ht="20.149999999999999" customHeight="1" x14ac:dyDescent="0.25">
      <c r="A36" s="168" t="s">
        <v>2763</v>
      </c>
      <c r="B36" s="167" t="s">
        <v>2784</v>
      </c>
    </row>
    <row r="37" spans="1:2" ht="20.149999999999999" customHeight="1" x14ac:dyDescent="0.25">
      <c r="A37" s="169" t="s">
        <v>2764</v>
      </c>
      <c r="B37" s="170" t="s">
        <v>2785</v>
      </c>
    </row>
    <row r="38" spans="1:2" ht="20.149999999999999" customHeight="1" x14ac:dyDescent="0.25">
      <c r="A38" s="162"/>
      <c r="B38" s="162"/>
    </row>
    <row r="39" spans="1:2" ht="20.149999999999999" customHeight="1" x14ac:dyDescent="0.25">
      <c r="A39" s="161"/>
      <c r="B39" s="161"/>
    </row>
    <row r="40" spans="1:2" ht="20.149999999999999" customHeight="1" x14ac:dyDescent="0.25">
      <c r="A40" s="161"/>
      <c r="B40" s="161"/>
    </row>
    <row r="41" spans="1:2" ht="20.149999999999999" customHeight="1" x14ac:dyDescent="0.25">
      <c r="A41" s="161"/>
      <c r="B41" s="161"/>
    </row>
    <row r="42" spans="1:2" ht="20.149999999999999" customHeight="1" x14ac:dyDescent="0.25">
      <c r="A42" s="161"/>
      <c r="B42" s="161"/>
    </row>
    <row r="43" spans="1:2" ht="20.149999999999999" customHeight="1" x14ac:dyDescent="0.25">
      <c r="A43" s="161"/>
      <c r="B43" s="161"/>
    </row>
    <row r="44" spans="1:2" ht="20.149999999999999" customHeight="1" x14ac:dyDescent="0.25">
      <c r="A44" s="161"/>
      <c r="B44" s="161"/>
    </row>
    <row r="45" spans="1:2" ht="20.149999999999999" customHeight="1" x14ac:dyDescent="0.25">
      <c r="A45" s="1"/>
      <c r="B45" s="1"/>
    </row>
    <row r="46" spans="1:2" ht="20.149999999999999" customHeight="1" x14ac:dyDescent="0.25">
      <c r="A46" s="1"/>
      <c r="B46" s="1"/>
    </row>
    <row r="47" spans="1:2" ht="20.149999999999999" customHeight="1" x14ac:dyDescent="0.25">
      <c r="A47" s="1"/>
      <c r="B47" s="1"/>
    </row>
    <row r="48" spans="1:2" ht="20.149999999999999" customHeight="1" x14ac:dyDescent="0.25">
      <c r="A48" s="1"/>
      <c r="B48" s="1"/>
    </row>
    <row r="49" spans="1:3" ht="20.149999999999999" customHeight="1" x14ac:dyDescent="0.25">
      <c r="A49" s="1"/>
      <c r="B49" s="1"/>
    </row>
    <row r="50" spans="1:3" ht="20.149999999999999" customHeight="1" x14ac:dyDescent="0.25">
      <c r="A50" s="1"/>
      <c r="B50" s="1"/>
    </row>
    <row r="51" spans="1:3" ht="20.149999999999999" customHeight="1" x14ac:dyDescent="0.25">
      <c r="A51" s="1"/>
      <c r="B51" s="1"/>
    </row>
    <row r="52" spans="1:3" ht="20.149999999999999" customHeight="1" x14ac:dyDescent="0.25">
      <c r="A52" s="158"/>
      <c r="B52" s="159"/>
    </row>
    <row r="53" spans="1:3" ht="20.149999999999999" customHeight="1" x14ac:dyDescent="0.25">
      <c r="A53" s="1"/>
      <c r="B53" s="1"/>
    </row>
    <row r="54" spans="1:3" ht="20.149999999999999" customHeight="1" x14ac:dyDescent="0.25">
      <c r="A54" s="1"/>
      <c r="B54" s="1"/>
      <c r="C54" s="46"/>
    </row>
    <row r="55" spans="1:3" ht="20.149999999999999" customHeight="1" x14ac:dyDescent="0.25">
      <c r="A55" s="1"/>
      <c r="B55" s="1"/>
    </row>
    <row r="57" spans="1:3" ht="13" customHeight="1" x14ac:dyDescent="0.25"/>
    <row r="58" spans="1:3" ht="13" hidden="1" customHeight="1" x14ac:dyDescent="0.25">
      <c r="A58" s="70">
        <v>1</v>
      </c>
      <c r="B58" s="70" t="s">
        <v>89</v>
      </c>
    </row>
    <row r="59" spans="1:3" ht="13" hidden="1" customHeight="1" x14ac:dyDescent="0.25">
      <c r="A59" s="70">
        <v>2</v>
      </c>
      <c r="B59" s="70" t="s">
        <v>210</v>
      </c>
    </row>
    <row r="60" spans="1:3" ht="13" hidden="1" customHeight="1" x14ac:dyDescent="0.25">
      <c r="A60" s="70">
        <v>3</v>
      </c>
      <c r="B60" s="70" t="s">
        <v>211</v>
      </c>
    </row>
    <row r="61" spans="1:3" ht="13" hidden="1" customHeight="1" x14ac:dyDescent="0.25">
      <c r="A61" s="70">
        <v>4</v>
      </c>
      <c r="B61" s="70" t="s">
        <v>212</v>
      </c>
    </row>
    <row r="62" spans="1:3" ht="13" hidden="1" customHeight="1" x14ac:dyDescent="0.25"/>
    <row r="63" spans="1:3" ht="13" hidden="1" customHeight="1" x14ac:dyDescent="0.25">
      <c r="A63" s="70">
        <v>3</v>
      </c>
    </row>
    <row r="64" spans="1:3" ht="13" hidden="1" customHeight="1" x14ac:dyDescent="0.25"/>
    <row r="65" spans="1:2" ht="13" hidden="1" customHeight="1" x14ac:dyDescent="0.25">
      <c r="A65" s="70">
        <v>1</v>
      </c>
      <c r="B65" s="70" t="s">
        <v>213</v>
      </c>
    </row>
    <row r="66" spans="1:2" ht="13" hidden="1" customHeight="1" x14ac:dyDescent="0.25">
      <c r="A66" s="70">
        <v>2</v>
      </c>
      <c r="B66" s="70" t="s">
        <v>214</v>
      </c>
    </row>
    <row r="67" spans="1:2" ht="13" hidden="1" customHeight="1" x14ac:dyDescent="0.25">
      <c r="A67" s="70">
        <v>3</v>
      </c>
      <c r="B67" s="70" t="s">
        <v>209</v>
      </c>
    </row>
    <row r="68" spans="1:2" ht="13" hidden="1" customHeight="1" x14ac:dyDescent="0.25">
      <c r="A68" s="70">
        <v>4</v>
      </c>
      <c r="B68" s="70" t="s">
        <v>215</v>
      </c>
    </row>
    <row r="69" spans="1:2" ht="13" hidden="1" customHeight="1" x14ac:dyDescent="0.25">
      <c r="A69" s="70">
        <v>4</v>
      </c>
    </row>
    <row r="70" spans="1:2" ht="13" hidden="1" customHeight="1" x14ac:dyDescent="0.25">
      <c r="A70" s="59">
        <v>4</v>
      </c>
    </row>
    <row r="71" spans="1:2" ht="13" hidden="1" customHeight="1" x14ac:dyDescent="0.25">
      <c r="A71" s="70">
        <v>4</v>
      </c>
    </row>
    <row r="72" spans="1:2" hidden="1" x14ac:dyDescent="0.25">
      <c r="A72" s="70">
        <v>3</v>
      </c>
    </row>
    <row r="73" spans="1:2" hidden="1" x14ac:dyDescent="0.25"/>
  </sheetData>
  <customSheetViews>
    <customSheetView guid="{33D191C9-AE75-45EC-B301-B583C3381734}" showGridLines="0" fitToPage="1" hiddenRows="1">
      <selection activeCell="C5" sqref="C5"/>
      <pageMargins left="0.75" right="0.75" top="1" bottom="1" header="0.5" footer="0.5"/>
      <pageSetup paperSize="9" scale="73" fitToHeight="100" orientation="landscape" r:id="rId1"/>
      <headerFooter alignWithMargins="0"/>
    </customSheetView>
  </customSheetViews>
  <phoneticPr fontId="2" type="noConversion"/>
  <hyperlinks>
    <hyperlink ref="A4" location="Klantgegevens!A4" display="Klantgegevens" xr:uid="{00000000-0004-0000-0200-000000000000}"/>
  </hyperlinks>
  <pageMargins left="0.75" right="0.75" top="1" bottom="1" header="0.5" footer="0.5"/>
  <pageSetup paperSize="9" scale="73"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5843" r:id="rId5" name="List Box 3">
              <controlPr defaultSize="0" autoLine="0" autoPict="0" macro="[0]!Macro1">
                <anchor moveWithCells="1">
                  <from>
                    <xdr:col>2</xdr:col>
                    <xdr:colOff>0</xdr:colOff>
                    <xdr:row>7</xdr:row>
                    <xdr:rowOff>50800</xdr:rowOff>
                  </from>
                  <to>
                    <xdr:col>3</xdr:col>
                    <xdr:colOff>603250</xdr:colOff>
                    <xdr:row>9</xdr:row>
                    <xdr:rowOff>88900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tabColor rgb="FF951B81"/>
    <pageSetUpPr fitToPage="1"/>
  </sheetPr>
  <dimension ref="A1:J147"/>
  <sheetViews>
    <sheetView showGridLines="0" zoomScaleNormal="100" workbookViewId="0">
      <pane ySplit="5" topLeftCell="A96" activePane="bottomLeft" state="frozen"/>
      <selection activeCell="F6" sqref="F6"/>
      <selection pane="bottomLeft" activeCell="A121" sqref="A121"/>
    </sheetView>
  </sheetViews>
  <sheetFormatPr defaultColWidth="9.1796875" defaultRowHeight="13" x14ac:dyDescent="0.25"/>
  <cols>
    <col min="1" max="1" width="60.7265625" style="5" customWidth="1"/>
    <col min="2" max="2" width="10.7265625" style="1" customWidth="1"/>
    <col min="3" max="3" width="10.81640625" style="1" customWidth="1"/>
    <col min="4" max="4" width="8.453125" style="1" customWidth="1"/>
    <col min="5" max="5" width="14.7265625" style="6" bestFit="1" customWidth="1"/>
    <col min="6" max="6" width="10.7265625" style="58" customWidth="1"/>
    <col min="7" max="7" width="59.7265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196" t="s">
        <v>1097</v>
      </c>
      <c r="B5" s="197" t="s">
        <v>642</v>
      </c>
      <c r="C5" s="197" t="s">
        <v>643</v>
      </c>
      <c r="D5" s="197" t="s">
        <v>644</v>
      </c>
      <c r="E5" s="198" t="s">
        <v>645</v>
      </c>
      <c r="F5" s="197" t="s">
        <v>54</v>
      </c>
      <c r="G5" s="199" t="s">
        <v>2858</v>
      </c>
    </row>
    <row r="6" spans="1:10" s="39" customFormat="1" x14ac:dyDescent="0.3">
      <c r="A6" s="37" t="s">
        <v>924</v>
      </c>
      <c r="B6" s="202" t="s">
        <v>144</v>
      </c>
      <c r="C6" s="82" t="s">
        <v>144</v>
      </c>
      <c r="D6" s="202" t="s">
        <v>144</v>
      </c>
      <c r="E6" s="38"/>
      <c r="F6" s="55"/>
      <c r="G6" s="64"/>
      <c r="H6" s="64"/>
      <c r="I6" s="64"/>
      <c r="J6" s="64"/>
    </row>
    <row r="7" spans="1:10" x14ac:dyDescent="0.3">
      <c r="A7" s="10" t="s">
        <v>546</v>
      </c>
      <c r="B7" s="200" t="s">
        <v>144</v>
      </c>
      <c r="C7" s="2" t="s">
        <v>144</v>
      </c>
      <c r="D7" s="200" t="s">
        <v>144</v>
      </c>
      <c r="E7" s="11"/>
      <c r="F7" s="55"/>
      <c r="H7" s="64"/>
    </row>
    <row r="8" spans="1:10" ht="25" x14ac:dyDescent="0.3">
      <c r="A8" s="16" t="s">
        <v>2009</v>
      </c>
      <c r="B8" s="200" t="s">
        <v>144</v>
      </c>
      <c r="C8" s="2" t="s">
        <v>144</v>
      </c>
      <c r="D8" s="200" t="s">
        <v>144</v>
      </c>
      <c r="F8" s="55"/>
      <c r="H8" s="64"/>
    </row>
    <row r="9" spans="1:10" ht="37.5" x14ac:dyDescent="0.3">
      <c r="A9" s="16" t="s">
        <v>2010</v>
      </c>
      <c r="B9" s="200" t="s">
        <v>144</v>
      </c>
      <c r="C9" s="2" t="s">
        <v>144</v>
      </c>
      <c r="D9" s="200" t="s">
        <v>144</v>
      </c>
      <c r="E9" s="11" t="s">
        <v>273</v>
      </c>
      <c r="F9" s="55"/>
      <c r="H9" s="64"/>
    </row>
    <row r="10" spans="1:10" ht="25" x14ac:dyDescent="0.3">
      <c r="A10" s="16" t="s">
        <v>2788</v>
      </c>
      <c r="B10" s="200" t="s">
        <v>144</v>
      </c>
      <c r="C10" s="2" t="s">
        <v>144</v>
      </c>
      <c r="D10" s="200" t="s">
        <v>144</v>
      </c>
      <c r="E10" s="2" t="s">
        <v>2789</v>
      </c>
      <c r="F10" s="55"/>
      <c r="H10" s="64"/>
    </row>
    <row r="11" spans="1:10" x14ac:dyDescent="0.3">
      <c r="A11" s="10" t="s">
        <v>1793</v>
      </c>
      <c r="B11" s="200" t="s">
        <v>144</v>
      </c>
      <c r="C11" s="2" t="s">
        <v>144</v>
      </c>
      <c r="D11" s="200" t="s">
        <v>144</v>
      </c>
      <c r="E11" s="11"/>
      <c r="F11" s="55"/>
      <c r="H11" s="64"/>
    </row>
    <row r="12" spans="1:10" ht="37.5" x14ac:dyDescent="0.3">
      <c r="A12" s="79" t="s">
        <v>1795</v>
      </c>
      <c r="B12" s="200" t="s">
        <v>144</v>
      </c>
      <c r="C12" s="2" t="s">
        <v>144</v>
      </c>
      <c r="D12" s="200" t="s">
        <v>144</v>
      </c>
      <c r="E12" s="2" t="s">
        <v>1794</v>
      </c>
      <c r="F12" s="55"/>
      <c r="H12" s="64"/>
    </row>
    <row r="13" spans="1:10" x14ac:dyDescent="0.3">
      <c r="A13" s="79" t="s">
        <v>1796</v>
      </c>
      <c r="B13" s="200" t="s">
        <v>144</v>
      </c>
      <c r="C13" s="2" t="s">
        <v>144</v>
      </c>
      <c r="D13" s="200" t="s">
        <v>144</v>
      </c>
      <c r="E13" s="2" t="s">
        <v>2628</v>
      </c>
      <c r="F13" s="55"/>
      <c r="H13" s="64"/>
    </row>
    <row r="14" spans="1:10" x14ac:dyDescent="0.3">
      <c r="A14" s="79" t="s">
        <v>1797</v>
      </c>
      <c r="B14" s="200" t="s">
        <v>144</v>
      </c>
      <c r="C14" s="2" t="s">
        <v>144</v>
      </c>
      <c r="D14" s="200" t="s">
        <v>144</v>
      </c>
      <c r="E14" s="2" t="s">
        <v>2629</v>
      </c>
      <c r="F14" s="55"/>
      <c r="H14" s="64"/>
    </row>
    <row r="15" spans="1:10" x14ac:dyDescent="0.3">
      <c r="A15" s="79" t="s">
        <v>1798</v>
      </c>
      <c r="B15" s="200" t="s">
        <v>144</v>
      </c>
      <c r="C15" s="2" t="s">
        <v>144</v>
      </c>
      <c r="D15" s="200" t="s">
        <v>144</v>
      </c>
      <c r="E15" s="2" t="s">
        <v>2630</v>
      </c>
      <c r="F15" s="55"/>
      <c r="H15" s="64"/>
    </row>
    <row r="16" spans="1:10" ht="50" x14ac:dyDescent="0.3">
      <c r="A16" s="16" t="s">
        <v>2638</v>
      </c>
      <c r="B16" s="200" t="s">
        <v>144</v>
      </c>
      <c r="C16" s="2" t="s">
        <v>144</v>
      </c>
      <c r="D16" s="200" t="s">
        <v>144</v>
      </c>
      <c r="E16" s="2" t="s">
        <v>841</v>
      </c>
      <c r="F16" s="55"/>
      <c r="H16" s="64"/>
    </row>
    <row r="17" spans="1:10" s="7" customFormat="1" ht="63" x14ac:dyDescent="0.3">
      <c r="A17" s="16" t="s">
        <v>2276</v>
      </c>
      <c r="B17" s="203"/>
      <c r="C17" s="132"/>
      <c r="D17" s="203" t="s">
        <v>647</v>
      </c>
      <c r="E17" s="16" t="s">
        <v>1419</v>
      </c>
      <c r="F17" s="55"/>
      <c r="G17" s="100"/>
      <c r="H17" s="64"/>
      <c r="I17" s="63"/>
      <c r="J17" s="63"/>
    </row>
    <row r="18" spans="1:10" s="7" customFormat="1" x14ac:dyDescent="0.3">
      <c r="A18" s="16" t="s">
        <v>547</v>
      </c>
      <c r="B18" s="201" t="s">
        <v>144</v>
      </c>
      <c r="C18" s="92" t="s">
        <v>144</v>
      </c>
      <c r="D18" s="201" t="s">
        <v>144</v>
      </c>
      <c r="E18" s="16"/>
      <c r="F18" s="55"/>
      <c r="G18" s="77"/>
      <c r="H18" s="64"/>
      <c r="I18" s="63"/>
      <c r="J18" s="63"/>
    </row>
    <row r="19" spans="1:10" s="7" customFormat="1" ht="25" x14ac:dyDescent="0.3">
      <c r="A19" s="16" t="s">
        <v>2011</v>
      </c>
      <c r="B19" s="200" t="s">
        <v>646</v>
      </c>
      <c r="C19" s="2" t="s">
        <v>646</v>
      </c>
      <c r="D19" s="200" t="s">
        <v>646</v>
      </c>
      <c r="E19" s="50" t="s">
        <v>2012</v>
      </c>
      <c r="F19" s="55"/>
      <c r="G19" s="77"/>
      <c r="H19" s="64"/>
      <c r="I19" s="63"/>
      <c r="J19" s="63"/>
    </row>
    <row r="20" spans="1:10" ht="25" x14ac:dyDescent="0.3">
      <c r="A20" s="16" t="s">
        <v>2168</v>
      </c>
      <c r="B20" s="200" t="s">
        <v>646</v>
      </c>
      <c r="C20" s="2" t="s">
        <v>646</v>
      </c>
      <c r="D20" s="200" t="s">
        <v>646</v>
      </c>
      <c r="E20" s="50" t="s">
        <v>2013</v>
      </c>
      <c r="F20" s="55"/>
      <c r="G20" s="77"/>
      <c r="H20" s="64"/>
    </row>
    <row r="21" spans="1:10" x14ac:dyDescent="0.3">
      <c r="A21" s="16" t="s">
        <v>2277</v>
      </c>
      <c r="B21" s="200" t="s">
        <v>144</v>
      </c>
      <c r="C21" s="2" t="s">
        <v>144</v>
      </c>
      <c r="D21" s="200" t="s">
        <v>144</v>
      </c>
      <c r="E21" s="50"/>
      <c r="F21" s="55"/>
      <c r="G21" s="77"/>
      <c r="H21" s="64"/>
    </row>
    <row r="22" spans="1:10" ht="25" x14ac:dyDescent="0.3">
      <c r="A22" s="79" t="s">
        <v>1100</v>
      </c>
      <c r="B22" s="200" t="s">
        <v>144</v>
      </c>
      <c r="C22" s="2" t="s">
        <v>144</v>
      </c>
      <c r="D22" s="200" t="s">
        <v>144</v>
      </c>
      <c r="E22" s="11" t="s">
        <v>925</v>
      </c>
      <c r="F22" s="55"/>
      <c r="H22" s="64"/>
    </row>
    <row r="23" spans="1:10" ht="25" x14ac:dyDescent="0.3">
      <c r="A23" s="79" t="s">
        <v>1101</v>
      </c>
      <c r="B23" s="200" t="s">
        <v>144</v>
      </c>
      <c r="C23" s="2" t="s">
        <v>144</v>
      </c>
      <c r="D23" s="200" t="s">
        <v>144</v>
      </c>
      <c r="E23" s="11" t="s">
        <v>842</v>
      </c>
      <c r="F23" s="55"/>
      <c r="H23" s="64"/>
    </row>
    <row r="24" spans="1:10" x14ac:dyDescent="0.3">
      <c r="A24" s="79" t="s">
        <v>1995</v>
      </c>
      <c r="B24" s="200" t="s">
        <v>144</v>
      </c>
      <c r="C24" s="2" t="s">
        <v>144</v>
      </c>
      <c r="D24" s="200" t="s">
        <v>144</v>
      </c>
      <c r="E24" s="11" t="s">
        <v>842</v>
      </c>
      <c r="F24" s="55"/>
      <c r="H24" s="64"/>
    </row>
    <row r="25" spans="1:10" s="7" customFormat="1" ht="38.5" x14ac:dyDescent="0.3">
      <c r="A25" s="16" t="s">
        <v>2278</v>
      </c>
      <c r="B25" s="203"/>
      <c r="C25" s="132"/>
      <c r="D25" s="201" t="s">
        <v>646</v>
      </c>
      <c r="E25" s="2" t="s">
        <v>1799</v>
      </c>
      <c r="F25" s="55"/>
      <c r="G25" s="60"/>
      <c r="H25" s="64"/>
      <c r="I25" s="63"/>
      <c r="J25" s="63"/>
    </row>
    <row r="26" spans="1:10" ht="25.5" x14ac:dyDescent="0.3">
      <c r="A26" s="16" t="s">
        <v>2279</v>
      </c>
      <c r="B26" s="200" t="s">
        <v>646</v>
      </c>
      <c r="C26" s="2" t="s">
        <v>646</v>
      </c>
      <c r="D26" s="200" t="s">
        <v>646</v>
      </c>
      <c r="E26" s="10" t="s">
        <v>769</v>
      </c>
      <c r="F26" s="55"/>
      <c r="H26" s="64"/>
    </row>
    <row r="27" spans="1:10" ht="50.5" x14ac:dyDescent="0.3">
      <c r="A27" s="16" t="s">
        <v>2395</v>
      </c>
      <c r="B27" s="200" t="s">
        <v>800</v>
      </c>
      <c r="C27" s="2" t="s">
        <v>800</v>
      </c>
      <c r="D27" s="200"/>
      <c r="E27" s="10" t="s">
        <v>2014</v>
      </c>
      <c r="F27" s="55"/>
      <c r="G27" s="77"/>
      <c r="H27" s="64"/>
    </row>
    <row r="28" spans="1:10" ht="25.5" x14ac:dyDescent="0.3">
      <c r="A28" s="16" t="s">
        <v>2280</v>
      </c>
      <c r="B28" s="200" t="s">
        <v>800</v>
      </c>
      <c r="C28" s="2" t="s">
        <v>800</v>
      </c>
      <c r="D28" s="200"/>
      <c r="E28" s="10" t="s">
        <v>2015</v>
      </c>
      <c r="F28" s="55"/>
      <c r="G28" s="77"/>
      <c r="H28" s="64"/>
    </row>
    <row r="29" spans="1:10" s="7" customFormat="1" ht="37.5" x14ac:dyDescent="0.3">
      <c r="A29" s="16" t="s">
        <v>2016</v>
      </c>
      <c r="B29" s="201" t="s">
        <v>646</v>
      </c>
      <c r="C29" s="132"/>
      <c r="D29" s="203"/>
      <c r="E29" s="11" t="s">
        <v>20</v>
      </c>
      <c r="F29" s="55"/>
      <c r="G29" s="77"/>
      <c r="H29" s="64"/>
      <c r="I29" s="63"/>
      <c r="J29" s="63"/>
    </row>
    <row r="30" spans="1:10" x14ac:dyDescent="0.3">
      <c r="A30" s="10" t="s">
        <v>599</v>
      </c>
      <c r="B30" s="200" t="s">
        <v>145</v>
      </c>
      <c r="C30" s="2" t="s">
        <v>145</v>
      </c>
      <c r="D30" s="200" t="s">
        <v>145</v>
      </c>
      <c r="E30" s="11"/>
      <c r="F30" s="55"/>
      <c r="H30" s="64"/>
    </row>
    <row r="31" spans="1:10" ht="25" x14ac:dyDescent="0.3">
      <c r="A31" s="16" t="s">
        <v>1420</v>
      </c>
      <c r="B31" s="200" t="s">
        <v>145</v>
      </c>
      <c r="C31" s="2" t="s">
        <v>145</v>
      </c>
      <c r="D31" s="200" t="s">
        <v>145</v>
      </c>
      <c r="E31" s="11"/>
      <c r="F31" s="55"/>
      <c r="H31" s="64"/>
    </row>
    <row r="32" spans="1:10" x14ac:dyDescent="0.3">
      <c r="A32" s="10" t="s">
        <v>921</v>
      </c>
      <c r="B32" s="200" t="s">
        <v>145</v>
      </c>
      <c r="C32" s="2" t="s">
        <v>145</v>
      </c>
      <c r="D32" s="200" t="s">
        <v>145</v>
      </c>
      <c r="E32" s="11"/>
      <c r="F32" s="55"/>
      <c r="H32" s="64"/>
    </row>
    <row r="33" spans="1:10" x14ac:dyDescent="0.3">
      <c r="A33" s="16" t="s">
        <v>1102</v>
      </c>
      <c r="B33" s="200" t="s">
        <v>145</v>
      </c>
      <c r="C33" s="2" t="s">
        <v>145</v>
      </c>
      <c r="D33" s="200" t="s">
        <v>145</v>
      </c>
      <c r="E33" s="11"/>
      <c r="F33" s="55"/>
      <c r="H33" s="64"/>
    </row>
    <row r="34" spans="1:10" ht="25" x14ac:dyDescent="0.3">
      <c r="A34" s="10" t="s">
        <v>922</v>
      </c>
      <c r="B34" s="200" t="s">
        <v>145</v>
      </c>
      <c r="C34" s="2" t="s">
        <v>145</v>
      </c>
      <c r="D34" s="200" t="s">
        <v>145</v>
      </c>
      <c r="E34" s="11"/>
      <c r="F34" s="55"/>
      <c r="H34" s="64"/>
    </row>
    <row r="35" spans="1:10" s="46" customFormat="1" x14ac:dyDescent="0.3">
      <c r="A35" s="34" t="s">
        <v>1421</v>
      </c>
      <c r="B35" s="200" t="s">
        <v>144</v>
      </c>
      <c r="C35" s="2" t="s">
        <v>144</v>
      </c>
      <c r="D35" s="200" t="s">
        <v>144</v>
      </c>
      <c r="E35" s="36"/>
      <c r="F35" s="55"/>
      <c r="G35" s="60"/>
      <c r="H35" s="64"/>
      <c r="I35" s="60"/>
      <c r="J35" s="60"/>
    </row>
    <row r="36" spans="1:10" s="46" customFormat="1" ht="138" x14ac:dyDescent="0.3">
      <c r="A36" s="173" t="s">
        <v>2986</v>
      </c>
      <c r="B36" s="200" t="s">
        <v>144</v>
      </c>
      <c r="C36" s="2" t="s">
        <v>144</v>
      </c>
      <c r="D36" s="200" t="s">
        <v>144</v>
      </c>
      <c r="E36" s="36"/>
      <c r="F36" s="55"/>
      <c r="G36" s="60" t="s">
        <v>993</v>
      </c>
      <c r="H36" s="64"/>
      <c r="I36" s="60"/>
      <c r="J36" s="60"/>
    </row>
    <row r="37" spans="1:10" s="7" customFormat="1" x14ac:dyDescent="0.3">
      <c r="A37" s="85" t="s">
        <v>642</v>
      </c>
      <c r="B37" s="200" t="s">
        <v>144</v>
      </c>
      <c r="C37" s="2"/>
      <c r="D37" s="200"/>
      <c r="E37" s="11"/>
      <c r="F37" s="55"/>
      <c r="G37" s="77"/>
      <c r="H37" s="64"/>
      <c r="I37" s="63"/>
      <c r="J37" s="63"/>
    </row>
    <row r="38" spans="1:10" s="7" customFormat="1" x14ac:dyDescent="0.3">
      <c r="A38" s="16" t="s">
        <v>2860</v>
      </c>
      <c r="B38" s="200" t="s">
        <v>144</v>
      </c>
      <c r="C38" s="2"/>
      <c r="D38" s="200"/>
      <c r="E38" s="11"/>
      <c r="F38" s="55"/>
      <c r="G38" s="77" t="s">
        <v>1856</v>
      </c>
      <c r="H38" s="64"/>
      <c r="I38" s="63"/>
      <c r="J38" s="63"/>
    </row>
    <row r="39" spans="1:10" s="7" customFormat="1" x14ac:dyDescent="0.3">
      <c r="A39" s="16" t="s">
        <v>2861</v>
      </c>
      <c r="B39" s="200" t="s">
        <v>144</v>
      </c>
      <c r="C39" s="2"/>
      <c r="D39" s="200"/>
      <c r="E39" s="11"/>
      <c r="F39" s="55"/>
      <c r="G39" s="77" t="s">
        <v>1856</v>
      </c>
      <c r="H39" s="64"/>
      <c r="I39" s="63"/>
      <c r="J39" s="63"/>
    </row>
    <row r="40" spans="1:10" s="7" customFormat="1" x14ac:dyDescent="0.3">
      <c r="A40" s="10" t="s">
        <v>716</v>
      </c>
      <c r="B40" s="200" t="s">
        <v>144</v>
      </c>
      <c r="C40" s="2"/>
      <c r="D40" s="200"/>
      <c r="E40" s="11"/>
      <c r="F40" s="55"/>
      <c r="G40" s="77"/>
      <c r="H40" s="64"/>
      <c r="I40" s="63"/>
      <c r="J40" s="63"/>
    </row>
    <row r="41" spans="1:10" x14ac:dyDescent="0.3">
      <c r="A41" s="85" t="s">
        <v>717</v>
      </c>
      <c r="B41" s="200"/>
      <c r="C41" s="2" t="s">
        <v>144</v>
      </c>
      <c r="D41" s="200"/>
      <c r="E41" s="2" t="s">
        <v>1422</v>
      </c>
      <c r="F41" s="55"/>
      <c r="H41" s="64"/>
    </row>
    <row r="42" spans="1:10" x14ac:dyDescent="0.3">
      <c r="A42" s="16" t="s">
        <v>2862</v>
      </c>
      <c r="B42" s="200"/>
      <c r="C42" s="2" t="s">
        <v>144</v>
      </c>
      <c r="D42" s="200"/>
      <c r="E42" s="11"/>
      <c r="F42" s="55"/>
      <c r="G42" s="60" t="s">
        <v>1856</v>
      </c>
      <c r="H42" s="64"/>
    </row>
    <row r="43" spans="1:10" x14ac:dyDescent="0.3">
      <c r="A43" s="16" t="s">
        <v>2863</v>
      </c>
      <c r="B43" s="200"/>
      <c r="C43" s="2" t="s">
        <v>144</v>
      </c>
      <c r="D43" s="200"/>
      <c r="E43" s="11"/>
      <c r="F43" s="55"/>
      <c r="G43" s="60" t="s">
        <v>1856</v>
      </c>
      <c r="H43" s="64"/>
    </row>
    <row r="44" spans="1:10" x14ac:dyDescent="0.3">
      <c r="A44" s="16" t="s">
        <v>1718</v>
      </c>
      <c r="B44" s="200"/>
      <c r="C44" s="2" t="s">
        <v>144</v>
      </c>
      <c r="D44" s="200"/>
      <c r="E44" s="11"/>
      <c r="F44" s="55"/>
      <c r="H44" s="64"/>
    </row>
    <row r="45" spans="1:10" s="7" customFormat="1" x14ac:dyDescent="0.3">
      <c r="A45" s="85" t="s">
        <v>644</v>
      </c>
      <c r="B45" s="200"/>
      <c r="C45" s="2"/>
      <c r="D45" s="200" t="s">
        <v>144</v>
      </c>
      <c r="E45" t="s">
        <v>1710</v>
      </c>
      <c r="F45" s="55"/>
      <c r="G45" s="77"/>
      <c r="H45" s="64"/>
      <c r="I45" s="63"/>
      <c r="J45" s="63"/>
    </row>
    <row r="46" spans="1:10" s="7" customFormat="1" x14ac:dyDescent="0.3">
      <c r="A46" s="16" t="s">
        <v>2864</v>
      </c>
      <c r="B46" s="200"/>
      <c r="C46" s="2"/>
      <c r="D46" s="200" t="s">
        <v>144</v>
      </c>
      <c r="E46" s="11"/>
      <c r="F46" s="55"/>
      <c r="G46" s="77" t="s">
        <v>1856</v>
      </c>
      <c r="H46" s="64"/>
      <c r="I46" s="63"/>
      <c r="J46" s="63"/>
    </row>
    <row r="47" spans="1:10" s="7" customFormat="1" x14ac:dyDescent="0.3">
      <c r="A47" s="16" t="s">
        <v>2865</v>
      </c>
      <c r="B47" s="200"/>
      <c r="C47" s="2"/>
      <c r="D47" s="200" t="s">
        <v>144</v>
      </c>
      <c r="E47" s="11"/>
      <c r="F47" s="55"/>
      <c r="G47" s="77" t="s">
        <v>1856</v>
      </c>
      <c r="H47" s="64"/>
      <c r="I47" s="63"/>
      <c r="J47" s="63"/>
    </row>
    <row r="48" spans="1:10" s="7" customFormat="1" x14ac:dyDescent="0.3">
      <c r="A48" s="16" t="s">
        <v>1423</v>
      </c>
      <c r="B48" s="200"/>
      <c r="C48" s="2"/>
      <c r="D48" s="200" t="s">
        <v>144</v>
      </c>
      <c r="E48" s="11"/>
      <c r="F48" s="55"/>
      <c r="G48" s="77"/>
      <c r="H48" s="64"/>
      <c r="I48" s="63"/>
      <c r="J48" s="63"/>
    </row>
    <row r="49" spans="1:10" s="7" customFormat="1" x14ac:dyDescent="0.3">
      <c r="A49" s="85" t="s">
        <v>1424</v>
      </c>
      <c r="B49" s="200"/>
      <c r="C49" s="2"/>
      <c r="D49" s="200" t="s">
        <v>144</v>
      </c>
      <c r="E49" s="2" t="s">
        <v>1426</v>
      </c>
      <c r="F49" s="55"/>
      <c r="G49" s="77"/>
      <c r="H49" s="64"/>
      <c r="I49" s="63"/>
      <c r="J49" s="63"/>
    </row>
    <row r="50" spans="1:10" s="7" customFormat="1" x14ac:dyDescent="0.3">
      <c r="A50" s="16" t="s">
        <v>2866</v>
      </c>
      <c r="B50" s="200"/>
      <c r="C50" s="2"/>
      <c r="D50" s="200" t="s">
        <v>144</v>
      </c>
      <c r="E50" s="11"/>
      <c r="F50" s="55"/>
      <c r="G50" s="77" t="s">
        <v>1856</v>
      </c>
      <c r="H50" s="64"/>
      <c r="I50" s="63"/>
      <c r="J50" s="63"/>
    </row>
    <row r="51" spans="1:10" s="7" customFormat="1" x14ac:dyDescent="0.3">
      <c r="A51" s="16" t="s">
        <v>2867</v>
      </c>
      <c r="B51" s="200"/>
      <c r="C51" s="2"/>
      <c r="D51" s="200" t="s">
        <v>144</v>
      </c>
      <c r="E51" s="11"/>
      <c r="F51" s="55"/>
      <c r="G51" s="77" t="s">
        <v>1856</v>
      </c>
      <c r="H51" s="64"/>
      <c r="I51" s="63"/>
      <c r="J51" s="63"/>
    </row>
    <row r="52" spans="1:10" s="7" customFormat="1" x14ac:dyDescent="0.3">
      <c r="A52" s="16" t="s">
        <v>1425</v>
      </c>
      <c r="B52" s="200"/>
      <c r="C52" s="2"/>
      <c r="D52" s="200" t="s">
        <v>144</v>
      </c>
      <c r="E52" s="11"/>
      <c r="F52" s="55"/>
      <c r="G52" s="77"/>
      <c r="H52" s="64"/>
      <c r="I52" s="63"/>
      <c r="J52" s="63"/>
    </row>
    <row r="53" spans="1:10" s="7" customFormat="1" ht="25" x14ac:dyDescent="0.3">
      <c r="A53" s="10" t="s">
        <v>770</v>
      </c>
      <c r="B53" s="200" t="s">
        <v>144</v>
      </c>
      <c r="C53" s="2" t="s">
        <v>144</v>
      </c>
      <c r="D53" s="200" t="s">
        <v>144</v>
      </c>
      <c r="E53" s="11"/>
      <c r="F53" s="55"/>
      <c r="G53" s="77"/>
      <c r="H53" s="64"/>
      <c r="I53" s="63"/>
      <c r="J53" s="63"/>
    </row>
    <row r="54" spans="1:10" s="7" customFormat="1" ht="40.5" customHeight="1" x14ac:dyDescent="0.3">
      <c r="A54" s="10" t="s">
        <v>926</v>
      </c>
      <c r="B54" s="200" t="s">
        <v>144</v>
      </c>
      <c r="C54" s="2" t="s">
        <v>144</v>
      </c>
      <c r="D54" s="200" t="s">
        <v>144</v>
      </c>
      <c r="E54" s="16" t="s">
        <v>1800</v>
      </c>
      <c r="F54" s="55"/>
      <c r="G54" s="77"/>
      <c r="H54" s="64"/>
      <c r="I54" s="63"/>
      <c r="J54" s="63"/>
    </row>
    <row r="55" spans="1:10" s="7" customFormat="1" ht="25.5" x14ac:dyDescent="0.3">
      <c r="A55" s="16" t="s">
        <v>2312</v>
      </c>
      <c r="B55" s="201"/>
      <c r="C55" s="92"/>
      <c r="D55" s="201" t="s">
        <v>646</v>
      </c>
      <c r="E55" s="2" t="s">
        <v>2195</v>
      </c>
      <c r="F55" s="55"/>
      <c r="G55" s="77"/>
      <c r="H55" s="64"/>
      <c r="I55" s="63"/>
      <c r="J55" s="63"/>
    </row>
    <row r="56" spans="1:10" s="7" customFormat="1" ht="25" x14ac:dyDescent="0.3">
      <c r="A56" s="10" t="s">
        <v>533</v>
      </c>
      <c r="B56" s="201"/>
      <c r="C56" s="92"/>
      <c r="D56" s="201" t="s">
        <v>646</v>
      </c>
      <c r="E56" s="11" t="s">
        <v>2017</v>
      </c>
      <c r="F56" s="55"/>
      <c r="G56" s="77"/>
      <c r="H56" s="64"/>
      <c r="I56" s="63"/>
      <c r="J56" s="63"/>
    </row>
    <row r="57" spans="1:10" s="46" customFormat="1" x14ac:dyDescent="0.3">
      <c r="A57" s="34" t="s">
        <v>912</v>
      </c>
      <c r="B57" s="200" t="s">
        <v>144</v>
      </c>
      <c r="C57" s="2" t="s">
        <v>144</v>
      </c>
      <c r="D57" s="200" t="s">
        <v>144</v>
      </c>
      <c r="E57" s="36"/>
      <c r="F57" s="55"/>
      <c r="G57" s="60"/>
      <c r="H57" s="64"/>
      <c r="I57" s="60"/>
      <c r="J57" s="60"/>
    </row>
    <row r="58" spans="1:10" s="46" customFormat="1" ht="38" x14ac:dyDescent="0.3">
      <c r="A58" s="174" t="s">
        <v>2868</v>
      </c>
      <c r="B58" s="200"/>
      <c r="C58" s="2"/>
      <c r="D58" s="200" t="s">
        <v>144</v>
      </c>
      <c r="E58" s="36"/>
      <c r="F58" s="55"/>
      <c r="G58" s="60" t="s">
        <v>993</v>
      </c>
      <c r="H58" s="64"/>
      <c r="I58" s="60"/>
      <c r="J58" s="60"/>
    </row>
    <row r="59" spans="1:10" ht="50" x14ac:dyDescent="0.3">
      <c r="A59" s="16" t="s">
        <v>2869</v>
      </c>
      <c r="B59" s="200" t="s">
        <v>144</v>
      </c>
      <c r="C59" s="2" t="s">
        <v>144</v>
      </c>
      <c r="D59" s="200" t="s">
        <v>144</v>
      </c>
      <c r="E59" s="16" t="s">
        <v>2870</v>
      </c>
      <c r="F59" s="55"/>
      <c r="G59" s="60" t="s">
        <v>1856</v>
      </c>
      <c r="H59" s="64"/>
    </row>
    <row r="60" spans="1:10" ht="37.5" x14ac:dyDescent="0.3">
      <c r="A60" s="10" t="s">
        <v>1711</v>
      </c>
      <c r="B60" s="200" t="s">
        <v>646</v>
      </c>
      <c r="C60" s="2" t="s">
        <v>646</v>
      </c>
      <c r="D60" s="200" t="s">
        <v>646</v>
      </c>
      <c r="E60" s="16" t="s">
        <v>2871</v>
      </c>
      <c r="F60" s="55"/>
      <c r="G60" s="95" t="s">
        <v>2329</v>
      </c>
      <c r="H60" s="64"/>
    </row>
    <row r="61" spans="1:10" ht="37.5" x14ac:dyDescent="0.3">
      <c r="A61" s="16" t="s">
        <v>1103</v>
      </c>
      <c r="B61" s="200" t="s">
        <v>646</v>
      </c>
      <c r="C61" s="2" t="s">
        <v>646</v>
      </c>
      <c r="D61" s="200" t="s">
        <v>646</v>
      </c>
      <c r="E61" s="2" t="s">
        <v>1104</v>
      </c>
      <c r="F61" s="55"/>
      <c r="H61" s="64"/>
    </row>
    <row r="62" spans="1:10" ht="88" x14ac:dyDescent="0.3">
      <c r="A62" s="16" t="s">
        <v>2872</v>
      </c>
      <c r="B62" s="200" t="s">
        <v>646</v>
      </c>
      <c r="C62" s="2" t="s">
        <v>646</v>
      </c>
      <c r="D62" s="200" t="s">
        <v>646</v>
      </c>
      <c r="E62" s="2" t="s">
        <v>845</v>
      </c>
      <c r="F62" s="55"/>
      <c r="G62" s="60" t="s">
        <v>1856</v>
      </c>
      <c r="H62" s="64"/>
    </row>
    <row r="63" spans="1:10" ht="25" x14ac:dyDescent="0.3">
      <c r="A63" s="16" t="s">
        <v>2018</v>
      </c>
      <c r="B63" s="200" t="s">
        <v>646</v>
      </c>
      <c r="C63" s="2" t="s">
        <v>646</v>
      </c>
      <c r="D63" s="200" t="s">
        <v>646</v>
      </c>
      <c r="E63" s="16" t="s">
        <v>2019</v>
      </c>
      <c r="F63" s="55"/>
      <c r="H63" s="64"/>
    </row>
    <row r="64" spans="1:10" ht="113" x14ac:dyDescent="0.3">
      <c r="A64" s="16" t="s">
        <v>2973</v>
      </c>
      <c r="B64" s="200" t="s">
        <v>646</v>
      </c>
      <c r="C64" s="2" t="s">
        <v>646</v>
      </c>
      <c r="D64" s="200" t="s">
        <v>646</v>
      </c>
      <c r="E64" s="11" t="s">
        <v>913</v>
      </c>
      <c r="F64" s="55"/>
      <c r="G64" s="60" t="s">
        <v>2859</v>
      </c>
      <c r="H64" s="64"/>
    </row>
    <row r="65" spans="1:10" s="46" customFormat="1" x14ac:dyDescent="0.3">
      <c r="A65" s="34" t="s">
        <v>669</v>
      </c>
      <c r="B65" s="200" t="s">
        <v>144</v>
      </c>
      <c r="C65" s="2" t="s">
        <v>144</v>
      </c>
      <c r="D65" s="200" t="s">
        <v>144</v>
      </c>
      <c r="E65" s="36"/>
      <c r="F65" s="55"/>
      <c r="G65" s="60"/>
      <c r="H65" s="64"/>
      <c r="I65" s="60"/>
      <c r="J65" s="60"/>
    </row>
    <row r="66" spans="1:10" x14ac:dyDescent="0.3">
      <c r="A66" s="10" t="s">
        <v>774</v>
      </c>
      <c r="B66" s="200" t="s">
        <v>646</v>
      </c>
      <c r="C66" s="2" t="s">
        <v>646</v>
      </c>
      <c r="D66" s="200" t="s">
        <v>646</v>
      </c>
      <c r="E66" s="11" t="s">
        <v>846</v>
      </c>
      <c r="F66" s="55"/>
      <c r="H66" s="64"/>
    </row>
    <row r="67" spans="1:10" ht="25" x14ac:dyDescent="0.3">
      <c r="A67" s="10" t="s">
        <v>773</v>
      </c>
      <c r="B67" s="200" t="s">
        <v>144</v>
      </c>
      <c r="C67" s="2" t="s">
        <v>144</v>
      </c>
      <c r="D67" s="200" t="s">
        <v>144</v>
      </c>
      <c r="E67" s="11"/>
      <c r="F67" s="55"/>
      <c r="H67" s="64"/>
    </row>
    <row r="68" spans="1:10" s="7" customFormat="1" x14ac:dyDescent="0.3">
      <c r="A68" s="10" t="s">
        <v>302</v>
      </c>
      <c r="B68" s="200" t="s">
        <v>144</v>
      </c>
      <c r="C68" s="2" t="s">
        <v>144</v>
      </c>
      <c r="D68" s="200" t="s">
        <v>144</v>
      </c>
      <c r="E68" s="11"/>
      <c r="F68" s="55"/>
      <c r="G68" s="77"/>
      <c r="H68" s="64"/>
      <c r="I68" s="63"/>
      <c r="J68" s="63"/>
    </row>
    <row r="69" spans="1:10" x14ac:dyDescent="0.3">
      <c r="A69" s="10" t="s">
        <v>303</v>
      </c>
      <c r="B69" s="200" t="s">
        <v>144</v>
      </c>
      <c r="C69" s="2" t="s">
        <v>144</v>
      </c>
      <c r="D69" s="200" t="s">
        <v>144</v>
      </c>
      <c r="E69" s="11" t="s">
        <v>771</v>
      </c>
      <c r="F69" s="55"/>
      <c r="H69" s="64"/>
    </row>
    <row r="70" spans="1:10" ht="37.5" x14ac:dyDescent="0.3">
      <c r="A70" s="10" t="s">
        <v>914</v>
      </c>
      <c r="B70" s="200" t="s">
        <v>144</v>
      </c>
      <c r="C70" s="2" t="s">
        <v>144</v>
      </c>
      <c r="D70" s="200" t="s">
        <v>144</v>
      </c>
      <c r="E70" s="11" t="s">
        <v>915</v>
      </c>
      <c r="F70" s="55"/>
      <c r="H70" s="64"/>
    </row>
    <row r="71" spans="1:10" ht="37.5" x14ac:dyDescent="0.3">
      <c r="A71" s="10" t="s">
        <v>927</v>
      </c>
      <c r="B71" s="200" t="s">
        <v>144</v>
      </c>
      <c r="C71" s="2" t="s">
        <v>144</v>
      </c>
      <c r="D71" s="200" t="s">
        <v>144</v>
      </c>
      <c r="E71" s="11" t="s">
        <v>916</v>
      </c>
      <c r="F71" s="55"/>
      <c r="H71" s="64"/>
    </row>
    <row r="72" spans="1:10" ht="62.5" x14ac:dyDescent="0.3">
      <c r="A72" s="10" t="s">
        <v>772</v>
      </c>
      <c r="B72" s="200" t="s">
        <v>144</v>
      </c>
      <c r="C72" s="2" t="s">
        <v>144</v>
      </c>
      <c r="D72" s="200" t="s">
        <v>144</v>
      </c>
      <c r="E72" s="11"/>
      <c r="F72" s="55"/>
      <c r="H72" s="64"/>
    </row>
    <row r="73" spans="1:10" ht="37.5" x14ac:dyDescent="0.3">
      <c r="A73" s="10" t="s">
        <v>917</v>
      </c>
      <c r="B73" s="200" t="s">
        <v>144</v>
      </c>
      <c r="C73" s="2" t="s">
        <v>144</v>
      </c>
      <c r="D73" s="200" t="s">
        <v>144</v>
      </c>
      <c r="E73" s="11"/>
      <c r="F73" s="55"/>
      <c r="H73" s="64"/>
    </row>
    <row r="74" spans="1:10" ht="37.5" x14ac:dyDescent="0.3">
      <c r="A74" s="10" t="s">
        <v>775</v>
      </c>
      <c r="B74" s="200" t="s">
        <v>144</v>
      </c>
      <c r="C74" s="2" t="s">
        <v>144</v>
      </c>
      <c r="D74" s="200" t="s">
        <v>144</v>
      </c>
      <c r="E74" s="11" t="s">
        <v>918</v>
      </c>
      <c r="F74" s="55"/>
      <c r="H74" s="64"/>
    </row>
    <row r="75" spans="1:10" ht="25" x14ac:dyDescent="0.3">
      <c r="A75" s="10" t="s">
        <v>776</v>
      </c>
      <c r="B75" s="200" t="s">
        <v>144</v>
      </c>
      <c r="C75" s="2" t="s">
        <v>144</v>
      </c>
      <c r="D75" s="200" t="s">
        <v>144</v>
      </c>
      <c r="E75" s="11"/>
      <c r="F75" s="55"/>
      <c r="H75" s="64"/>
    </row>
    <row r="76" spans="1:10" x14ac:dyDescent="0.3">
      <c r="A76" s="85" t="s">
        <v>2003</v>
      </c>
      <c r="B76" s="200" t="s">
        <v>144</v>
      </c>
      <c r="C76" s="2" t="s">
        <v>144</v>
      </c>
      <c r="D76" s="200" t="s">
        <v>144</v>
      </c>
      <c r="E76" s="11"/>
      <c r="F76" s="55"/>
      <c r="H76" s="64"/>
    </row>
    <row r="77" spans="1:10" ht="37.5" x14ac:dyDescent="0.3">
      <c r="A77" s="16" t="s">
        <v>2196</v>
      </c>
      <c r="B77" s="200" t="s">
        <v>144</v>
      </c>
      <c r="C77" s="2" t="s">
        <v>144</v>
      </c>
      <c r="D77" s="200" t="s">
        <v>144</v>
      </c>
      <c r="E77" s="16" t="s">
        <v>2197</v>
      </c>
      <c r="F77" s="55"/>
      <c r="H77" s="64"/>
    </row>
    <row r="78" spans="1:10" ht="37.5" x14ac:dyDescent="0.3">
      <c r="A78" s="10" t="s">
        <v>928</v>
      </c>
      <c r="B78" s="200" t="s">
        <v>144</v>
      </c>
      <c r="C78" s="2" t="s">
        <v>144</v>
      </c>
      <c r="D78" s="200" t="s">
        <v>144</v>
      </c>
      <c r="E78" s="11" t="s">
        <v>847</v>
      </c>
      <c r="F78" s="55"/>
      <c r="H78" s="64"/>
    </row>
    <row r="79" spans="1:10" ht="25" x14ac:dyDescent="0.3">
      <c r="A79" s="10" t="s">
        <v>929</v>
      </c>
      <c r="B79" s="200" t="s">
        <v>144</v>
      </c>
      <c r="C79" s="2" t="s">
        <v>144</v>
      </c>
      <c r="D79" s="200" t="s">
        <v>144</v>
      </c>
      <c r="E79" s="2" t="s">
        <v>1996</v>
      </c>
      <c r="F79" s="55"/>
      <c r="H79" s="64"/>
    </row>
    <row r="80" spans="1:10" x14ac:dyDescent="0.3">
      <c r="A80" s="85" t="s">
        <v>2002</v>
      </c>
      <c r="B80" s="200" t="s">
        <v>144</v>
      </c>
      <c r="C80" s="2" t="s">
        <v>144</v>
      </c>
      <c r="D80" s="200" t="s">
        <v>144</v>
      </c>
      <c r="E80" s="2"/>
      <c r="F80" s="55"/>
      <c r="H80" s="64"/>
    </row>
    <row r="81" spans="1:10" ht="25" x14ac:dyDescent="0.3">
      <c r="A81" s="16" t="s">
        <v>2169</v>
      </c>
      <c r="B81" s="200"/>
      <c r="C81" s="2" t="s">
        <v>144</v>
      </c>
      <c r="D81" s="200"/>
      <c r="F81" s="55"/>
      <c r="H81" s="64"/>
    </row>
    <row r="82" spans="1:10" ht="25" x14ac:dyDescent="0.3">
      <c r="A82" s="16" t="s">
        <v>2360</v>
      </c>
      <c r="B82" s="200"/>
      <c r="C82" s="2" t="s">
        <v>144</v>
      </c>
      <c r="D82" s="200"/>
      <c r="E82" s="11" t="s">
        <v>848</v>
      </c>
      <c r="F82" s="55"/>
      <c r="H82" s="64"/>
    </row>
    <row r="83" spans="1:10" ht="37.5" x14ac:dyDescent="0.3">
      <c r="A83" s="10" t="s">
        <v>901</v>
      </c>
      <c r="B83" s="200" t="s">
        <v>144</v>
      </c>
      <c r="C83" s="2" t="s">
        <v>144</v>
      </c>
      <c r="D83" s="200" t="s">
        <v>144</v>
      </c>
      <c r="E83" s="10" t="s">
        <v>919</v>
      </c>
      <c r="F83" s="55"/>
      <c r="H83" s="64"/>
    </row>
    <row r="84" spans="1:10" x14ac:dyDescent="0.3">
      <c r="A84" s="10" t="s">
        <v>547</v>
      </c>
      <c r="B84" s="200" t="s">
        <v>646</v>
      </c>
      <c r="C84" s="2" t="s">
        <v>646</v>
      </c>
      <c r="D84" s="200"/>
      <c r="E84" s="11"/>
      <c r="F84" s="55"/>
      <c r="H84" s="64"/>
    </row>
    <row r="85" spans="1:10" ht="50" x14ac:dyDescent="0.3">
      <c r="A85" s="10" t="s">
        <v>930</v>
      </c>
      <c r="B85" s="200" t="s">
        <v>646</v>
      </c>
      <c r="C85" s="2" t="s">
        <v>646</v>
      </c>
      <c r="D85" s="200"/>
      <c r="E85" s="11" t="s">
        <v>777</v>
      </c>
      <c r="F85" s="55"/>
      <c r="H85" s="64"/>
    </row>
    <row r="86" spans="1:10" ht="25" x14ac:dyDescent="0.3">
      <c r="A86" s="10" t="s">
        <v>920</v>
      </c>
      <c r="B86" s="200" t="s">
        <v>646</v>
      </c>
      <c r="C86" s="2" t="s">
        <v>646</v>
      </c>
      <c r="D86" s="200"/>
      <c r="E86" s="11" t="s">
        <v>849</v>
      </c>
      <c r="F86" s="55"/>
      <c r="H86" s="64"/>
    </row>
    <row r="87" spans="1:10" ht="37.5" x14ac:dyDescent="0.3">
      <c r="A87" s="16" t="s">
        <v>2639</v>
      </c>
      <c r="B87" s="200" t="s">
        <v>646</v>
      </c>
      <c r="C87" s="2" t="s">
        <v>646</v>
      </c>
      <c r="D87" s="200"/>
      <c r="E87" s="11" t="s">
        <v>850</v>
      </c>
      <c r="F87" s="55"/>
      <c r="H87" s="64"/>
    </row>
    <row r="88" spans="1:10" x14ac:dyDescent="0.3">
      <c r="A88" s="35" t="s">
        <v>2313</v>
      </c>
      <c r="B88" s="200" t="s">
        <v>646</v>
      </c>
      <c r="C88" s="2" t="s">
        <v>646</v>
      </c>
      <c r="D88" s="200"/>
      <c r="E88" s="2" t="s">
        <v>2203</v>
      </c>
      <c r="F88" s="55"/>
      <c r="H88" s="64"/>
    </row>
    <row r="89" spans="1:10" ht="25" x14ac:dyDescent="0.3">
      <c r="A89" s="10" t="s">
        <v>2198</v>
      </c>
      <c r="B89" s="200" t="s">
        <v>646</v>
      </c>
      <c r="C89" s="2" t="s">
        <v>646</v>
      </c>
      <c r="D89" s="200"/>
      <c r="E89" s="11"/>
      <c r="F89" s="55"/>
      <c r="H89" s="64"/>
    </row>
    <row r="90" spans="1:10" ht="25" x14ac:dyDescent="0.3">
      <c r="A90" s="16" t="s">
        <v>2199</v>
      </c>
      <c r="B90" s="200" t="s">
        <v>646</v>
      </c>
      <c r="C90" s="2" t="s">
        <v>646</v>
      </c>
      <c r="D90" s="200"/>
      <c r="E90" s="11"/>
      <c r="F90" s="55"/>
      <c r="H90" s="64"/>
    </row>
    <row r="91" spans="1:10" x14ac:dyDescent="0.3">
      <c r="A91" s="79" t="s">
        <v>2200</v>
      </c>
      <c r="B91" s="200" t="s">
        <v>646</v>
      </c>
      <c r="C91" s="2" t="s">
        <v>646</v>
      </c>
      <c r="D91" s="200"/>
      <c r="E91" s="11"/>
      <c r="F91" s="55"/>
      <c r="H91" s="64"/>
    </row>
    <row r="92" spans="1:10" x14ac:dyDescent="0.3">
      <c r="A92" s="79" t="s">
        <v>2201</v>
      </c>
      <c r="B92" s="200" t="s">
        <v>646</v>
      </c>
      <c r="C92" s="2" t="s">
        <v>646</v>
      </c>
      <c r="D92" s="200"/>
      <c r="E92" s="11"/>
      <c r="F92" s="55"/>
      <c r="H92" s="64"/>
    </row>
    <row r="93" spans="1:10" ht="25" x14ac:dyDescent="0.3">
      <c r="A93" s="79" t="s">
        <v>2202</v>
      </c>
      <c r="B93" s="200" t="s">
        <v>646</v>
      </c>
      <c r="C93" s="2" t="s">
        <v>646</v>
      </c>
      <c r="D93" s="200"/>
      <c r="E93" s="11"/>
      <c r="F93" s="55"/>
      <c r="H93" s="64"/>
    </row>
    <row r="94" spans="1:10" x14ac:dyDescent="0.3">
      <c r="A94" s="10" t="s">
        <v>599</v>
      </c>
      <c r="B94" s="200" t="s">
        <v>145</v>
      </c>
      <c r="C94" s="2" t="s">
        <v>145</v>
      </c>
      <c r="D94" s="200" t="s">
        <v>145</v>
      </c>
      <c r="E94" s="11"/>
      <c r="F94" s="55"/>
      <c r="H94" s="64"/>
    </row>
    <row r="95" spans="1:10" ht="87.5" x14ac:dyDescent="0.3">
      <c r="A95" s="16" t="s">
        <v>1106</v>
      </c>
      <c r="B95" s="200" t="s">
        <v>145</v>
      </c>
      <c r="C95" s="2" t="s">
        <v>145</v>
      </c>
      <c r="D95" s="200" t="s">
        <v>145</v>
      </c>
      <c r="E95" s="11"/>
      <c r="F95" s="55"/>
      <c r="H95" s="64"/>
    </row>
    <row r="96" spans="1:10" s="46" customFormat="1" x14ac:dyDescent="0.3">
      <c r="A96" s="34" t="s">
        <v>404</v>
      </c>
      <c r="B96" s="200" t="s">
        <v>144</v>
      </c>
      <c r="C96" s="2" t="s">
        <v>144</v>
      </c>
      <c r="D96" s="200" t="s">
        <v>144</v>
      </c>
      <c r="E96" s="36"/>
      <c r="F96" s="55"/>
      <c r="G96" s="60"/>
      <c r="H96" s="64"/>
      <c r="I96" s="60"/>
      <c r="J96" s="60"/>
    </row>
    <row r="97" spans="1:8" x14ac:dyDescent="0.3">
      <c r="A97" s="10" t="s">
        <v>546</v>
      </c>
      <c r="B97" s="200" t="s">
        <v>144</v>
      </c>
      <c r="C97" s="2" t="s">
        <v>144</v>
      </c>
      <c r="D97" s="200" t="s">
        <v>144</v>
      </c>
      <c r="E97" s="11"/>
      <c r="F97" s="55"/>
      <c r="H97" s="64"/>
    </row>
    <row r="98" spans="1:8" ht="37.5" x14ac:dyDescent="0.3">
      <c r="A98" s="16" t="s">
        <v>405</v>
      </c>
      <c r="B98" s="200" t="s">
        <v>144</v>
      </c>
      <c r="C98" s="2" t="s">
        <v>144</v>
      </c>
      <c r="D98" s="200" t="s">
        <v>144</v>
      </c>
      <c r="E98" s="16" t="s">
        <v>2020</v>
      </c>
      <c r="F98" s="55"/>
      <c r="H98" s="64"/>
    </row>
    <row r="99" spans="1:8" ht="25" x14ac:dyDescent="0.3">
      <c r="A99" s="16" t="s">
        <v>2637</v>
      </c>
      <c r="B99" s="200" t="s">
        <v>144</v>
      </c>
      <c r="C99" s="2" t="s">
        <v>144</v>
      </c>
      <c r="D99" s="200" t="s">
        <v>144</v>
      </c>
      <c r="E99" s="11" t="s">
        <v>841</v>
      </c>
      <c r="F99" s="55"/>
      <c r="H99" s="64"/>
    </row>
    <row r="100" spans="1:8" ht="25.5" x14ac:dyDescent="0.3">
      <c r="A100" s="16" t="s">
        <v>2021</v>
      </c>
      <c r="B100" s="200" t="s">
        <v>144</v>
      </c>
      <c r="C100" s="2" t="s">
        <v>144</v>
      </c>
      <c r="D100" s="200" t="s">
        <v>144</v>
      </c>
      <c r="E100" s="11"/>
      <c r="F100" s="55"/>
      <c r="H100" s="64"/>
    </row>
    <row r="101" spans="1:8" x14ac:dyDescent="0.3">
      <c r="A101" s="10" t="s">
        <v>302</v>
      </c>
      <c r="B101" s="200" t="s">
        <v>144</v>
      </c>
      <c r="C101" s="2" t="s">
        <v>144</v>
      </c>
      <c r="D101" s="200" t="s">
        <v>144</v>
      </c>
      <c r="E101" s="11"/>
      <c r="F101" s="55"/>
      <c r="H101" s="64"/>
    </row>
    <row r="102" spans="1:8" ht="41.25" customHeight="1" x14ac:dyDescent="0.3">
      <c r="A102" s="16" t="s">
        <v>1107</v>
      </c>
      <c r="B102" s="200" t="s">
        <v>144</v>
      </c>
      <c r="C102" s="2" t="s">
        <v>144</v>
      </c>
      <c r="D102" s="200" t="s">
        <v>144</v>
      </c>
      <c r="E102" s="11" t="s">
        <v>603</v>
      </c>
      <c r="F102" s="55"/>
      <c r="H102" s="64"/>
    </row>
    <row r="103" spans="1:8" ht="25.5" x14ac:dyDescent="0.3">
      <c r="A103" s="16" t="s">
        <v>2640</v>
      </c>
      <c r="B103" s="200" t="s">
        <v>144</v>
      </c>
      <c r="C103" s="2" t="s">
        <v>144</v>
      </c>
      <c r="D103" s="200" t="s">
        <v>144</v>
      </c>
      <c r="E103" s="11" t="s">
        <v>778</v>
      </c>
      <c r="F103" s="55"/>
      <c r="H103" s="64"/>
    </row>
    <row r="104" spans="1:8" ht="37.5" x14ac:dyDescent="0.3">
      <c r="A104" s="16" t="s">
        <v>1427</v>
      </c>
      <c r="B104" s="200" t="s">
        <v>144</v>
      </c>
      <c r="C104" s="2" t="s">
        <v>144</v>
      </c>
      <c r="D104" s="200" t="s">
        <v>144</v>
      </c>
      <c r="E104" s="2" t="s">
        <v>1428</v>
      </c>
      <c r="F104" s="55"/>
      <c r="G104" s="110"/>
      <c r="H104" s="64"/>
    </row>
    <row r="105" spans="1:8" ht="50" x14ac:dyDescent="0.3">
      <c r="A105" s="16" t="s">
        <v>1108</v>
      </c>
      <c r="B105" s="200" t="s">
        <v>144</v>
      </c>
      <c r="C105" s="2" t="s">
        <v>144</v>
      </c>
      <c r="D105" s="200" t="s">
        <v>144</v>
      </c>
      <c r="E105" s="10" t="s">
        <v>853</v>
      </c>
      <c r="F105" s="55"/>
      <c r="H105" s="64"/>
    </row>
    <row r="106" spans="1:8" ht="25" x14ac:dyDescent="0.3">
      <c r="A106" s="16" t="s">
        <v>2641</v>
      </c>
      <c r="B106" s="200" t="s">
        <v>144</v>
      </c>
      <c r="C106" s="2" t="s">
        <v>144</v>
      </c>
      <c r="D106" s="200" t="s">
        <v>144</v>
      </c>
      <c r="E106" s="11" t="s">
        <v>854</v>
      </c>
      <c r="F106" s="55"/>
      <c r="H106" s="64"/>
    </row>
    <row r="107" spans="1:8" ht="25" x14ac:dyDescent="0.3">
      <c r="A107" s="16" t="s">
        <v>1719</v>
      </c>
      <c r="B107" s="200" t="s">
        <v>144</v>
      </c>
      <c r="C107" s="2" t="s">
        <v>144</v>
      </c>
      <c r="D107" s="200" t="s">
        <v>144</v>
      </c>
      <c r="E107" s="11" t="s">
        <v>856</v>
      </c>
      <c r="F107" s="55"/>
      <c r="H107" s="64"/>
    </row>
    <row r="108" spans="1:8" ht="25.5" x14ac:dyDescent="0.3">
      <c r="A108" s="16" t="s">
        <v>2281</v>
      </c>
      <c r="B108" s="200" t="s">
        <v>144</v>
      </c>
      <c r="C108" s="2" t="s">
        <v>144</v>
      </c>
      <c r="D108" s="200" t="s">
        <v>144</v>
      </c>
      <c r="E108" s="2" t="s">
        <v>2204</v>
      </c>
      <c r="F108" s="55"/>
      <c r="H108" s="64"/>
    </row>
    <row r="109" spans="1:8" x14ac:dyDescent="0.3">
      <c r="A109" s="10" t="s">
        <v>406</v>
      </c>
      <c r="B109" s="200" t="s">
        <v>144</v>
      </c>
      <c r="C109" s="2" t="s">
        <v>144</v>
      </c>
      <c r="D109" s="200" t="s">
        <v>144</v>
      </c>
      <c r="E109" s="11"/>
      <c r="F109" s="55"/>
      <c r="H109" s="64"/>
    </row>
    <row r="110" spans="1:8" x14ac:dyDescent="0.3">
      <c r="A110" s="10" t="s">
        <v>407</v>
      </c>
      <c r="B110" s="200" t="s">
        <v>144</v>
      </c>
      <c r="C110" s="2" t="s">
        <v>144</v>
      </c>
      <c r="D110" s="200" t="s">
        <v>144</v>
      </c>
      <c r="E110" s="11"/>
      <c r="F110" s="55"/>
      <c r="H110" s="64"/>
    </row>
    <row r="111" spans="1:8" ht="25" x14ac:dyDescent="0.3">
      <c r="A111" s="79" t="s">
        <v>1105</v>
      </c>
      <c r="B111" s="200" t="s">
        <v>144</v>
      </c>
      <c r="C111" s="2" t="s">
        <v>144</v>
      </c>
      <c r="D111" s="200" t="s">
        <v>144</v>
      </c>
      <c r="E111" s="11" t="s">
        <v>855</v>
      </c>
      <c r="F111" s="55"/>
      <c r="H111" s="64"/>
    </row>
    <row r="112" spans="1:8" x14ac:dyDescent="0.3">
      <c r="A112" s="15" t="s">
        <v>445</v>
      </c>
      <c r="B112" s="200" t="s">
        <v>144</v>
      </c>
      <c r="C112" s="2" t="s">
        <v>144</v>
      </c>
      <c r="D112" s="200" t="s">
        <v>144</v>
      </c>
      <c r="E112" s="2" t="s">
        <v>851</v>
      </c>
      <c r="F112" s="55"/>
      <c r="H112" s="64"/>
    </row>
    <row r="113" spans="1:10" ht="15" customHeight="1" x14ac:dyDescent="0.3">
      <c r="A113" s="16" t="s">
        <v>2642</v>
      </c>
      <c r="B113" s="200" t="s">
        <v>144</v>
      </c>
      <c r="C113" s="2" t="s">
        <v>144</v>
      </c>
      <c r="D113" s="200" t="s">
        <v>144</v>
      </c>
      <c r="E113" s="11" t="s">
        <v>604</v>
      </c>
      <c r="F113" s="55"/>
      <c r="H113" s="64"/>
    </row>
    <row r="114" spans="1:10" s="7" customFormat="1" x14ac:dyDescent="0.3">
      <c r="A114" s="10" t="s">
        <v>547</v>
      </c>
      <c r="B114" s="200" t="s">
        <v>646</v>
      </c>
      <c r="C114" s="2" t="s">
        <v>646</v>
      </c>
      <c r="D114" s="200" t="s">
        <v>646</v>
      </c>
      <c r="E114" s="11"/>
      <c r="F114" s="55"/>
      <c r="G114" s="77"/>
      <c r="H114" s="64"/>
      <c r="I114" s="63"/>
      <c r="J114" s="63"/>
    </row>
    <row r="115" spans="1:10" ht="26.25" customHeight="1" x14ac:dyDescent="0.3">
      <c r="A115" s="16" t="s">
        <v>2170</v>
      </c>
      <c r="B115" s="200" t="s">
        <v>646</v>
      </c>
      <c r="C115" s="2" t="s">
        <v>646</v>
      </c>
      <c r="D115" s="200" t="s">
        <v>646</v>
      </c>
      <c r="E115" s="16" t="s">
        <v>2631</v>
      </c>
      <c r="F115" s="55"/>
      <c r="H115" s="64"/>
    </row>
    <row r="116" spans="1:10" ht="37.5" x14ac:dyDescent="0.3">
      <c r="A116" s="79" t="s">
        <v>2643</v>
      </c>
      <c r="B116" s="200" t="s">
        <v>646</v>
      </c>
      <c r="C116" s="2" t="s">
        <v>646</v>
      </c>
      <c r="D116" s="200" t="s">
        <v>843</v>
      </c>
      <c r="E116" s="2" t="s">
        <v>2644</v>
      </c>
      <c r="F116" s="55"/>
      <c r="G116" s="95"/>
      <c r="H116" s="64"/>
    </row>
    <row r="117" spans="1:10" ht="25" x14ac:dyDescent="0.3">
      <c r="A117" s="79" t="s">
        <v>2022</v>
      </c>
      <c r="B117" s="200" t="s">
        <v>646</v>
      </c>
      <c r="C117" s="2" t="s">
        <v>646</v>
      </c>
      <c r="D117" s="200" t="s">
        <v>843</v>
      </c>
      <c r="E117" s="11"/>
      <c r="F117" s="55"/>
      <c r="H117" s="64"/>
    </row>
    <row r="118" spans="1:10" s="7" customFormat="1" ht="25" x14ac:dyDescent="0.3">
      <c r="A118" s="15" t="s">
        <v>446</v>
      </c>
      <c r="B118" s="200" t="s">
        <v>646</v>
      </c>
      <c r="C118" s="132"/>
      <c r="D118" s="203"/>
      <c r="E118" s="11" t="s">
        <v>605</v>
      </c>
      <c r="F118" s="55"/>
      <c r="G118" s="77"/>
      <c r="H118" s="64"/>
      <c r="I118" s="63"/>
      <c r="J118" s="63"/>
    </row>
    <row r="119" spans="1:10" ht="50" x14ac:dyDescent="0.3">
      <c r="A119" s="79" t="s">
        <v>2023</v>
      </c>
      <c r="B119" s="200" t="s">
        <v>800</v>
      </c>
      <c r="C119" s="2" t="s">
        <v>647</v>
      </c>
      <c r="D119" s="200" t="s">
        <v>647</v>
      </c>
      <c r="E119" s="16" t="s">
        <v>2551</v>
      </c>
      <c r="F119" s="55"/>
      <c r="H119" s="64"/>
    </row>
    <row r="120" spans="1:10" x14ac:dyDescent="0.3">
      <c r="A120" s="10" t="s">
        <v>599</v>
      </c>
      <c r="B120" s="200" t="s">
        <v>145</v>
      </c>
      <c r="C120" s="2" t="s">
        <v>145</v>
      </c>
      <c r="D120" s="200" t="s">
        <v>145</v>
      </c>
      <c r="E120" s="11"/>
      <c r="F120" s="55"/>
      <c r="H120" s="64"/>
    </row>
    <row r="121" spans="1:10" ht="37.5" x14ac:dyDescent="0.3">
      <c r="A121" s="10" t="s">
        <v>1801</v>
      </c>
      <c r="B121" s="200" t="s">
        <v>145</v>
      </c>
      <c r="C121" s="2" t="s">
        <v>145</v>
      </c>
      <c r="D121" s="200" t="s">
        <v>145</v>
      </c>
      <c r="E121" s="11"/>
      <c r="F121" s="55"/>
      <c r="H121" s="64"/>
    </row>
    <row r="122" spans="1:10" s="46" customFormat="1" x14ac:dyDescent="0.3">
      <c r="A122" s="34" t="s">
        <v>1431</v>
      </c>
      <c r="B122" s="200" t="s">
        <v>144</v>
      </c>
      <c r="C122" s="2" t="s">
        <v>144</v>
      </c>
      <c r="D122" s="200" t="s">
        <v>144</v>
      </c>
      <c r="E122" s="36"/>
      <c r="F122" s="55"/>
      <c r="G122" s="60"/>
      <c r="H122" s="64"/>
      <c r="I122" s="60"/>
      <c r="J122" s="60"/>
    </row>
    <row r="123" spans="1:10" ht="25" x14ac:dyDescent="0.3">
      <c r="A123" s="16" t="s">
        <v>931</v>
      </c>
      <c r="B123" s="200" t="s">
        <v>144</v>
      </c>
      <c r="C123" s="2" t="s">
        <v>144</v>
      </c>
      <c r="D123" s="200" t="s">
        <v>144</v>
      </c>
      <c r="E123" s="16" t="s">
        <v>2623</v>
      </c>
      <c r="F123" s="55"/>
      <c r="H123" s="64"/>
    </row>
    <row r="124" spans="1:10" ht="37.5" x14ac:dyDescent="0.3">
      <c r="A124" s="10" t="s">
        <v>408</v>
      </c>
      <c r="B124" s="200" t="s">
        <v>144</v>
      </c>
      <c r="C124" s="2" t="s">
        <v>144</v>
      </c>
      <c r="D124" s="200" t="s">
        <v>144</v>
      </c>
      <c r="E124" s="16" t="s">
        <v>2622</v>
      </c>
      <c r="F124" s="55"/>
      <c r="H124" s="64"/>
    </row>
    <row r="125" spans="1:10" ht="25" x14ac:dyDescent="0.3">
      <c r="A125" s="10" t="s">
        <v>606</v>
      </c>
      <c r="B125" s="200" t="s">
        <v>646</v>
      </c>
      <c r="C125" s="2" t="s">
        <v>646</v>
      </c>
      <c r="D125" s="200" t="s">
        <v>646</v>
      </c>
      <c r="E125" s="11"/>
      <c r="F125" s="55"/>
      <c r="H125" s="64"/>
    </row>
    <row r="126" spans="1:10" x14ac:dyDescent="0.3">
      <c r="A126" s="10" t="s">
        <v>409</v>
      </c>
      <c r="B126" s="200" t="s">
        <v>646</v>
      </c>
      <c r="C126" s="2" t="s">
        <v>646</v>
      </c>
      <c r="D126" s="200" t="s">
        <v>646</v>
      </c>
      <c r="E126" s="11"/>
      <c r="F126" s="55"/>
      <c r="H126" s="64"/>
    </row>
    <row r="127" spans="1:10" ht="25" x14ac:dyDescent="0.3">
      <c r="A127" s="10" t="s">
        <v>932</v>
      </c>
      <c r="B127" s="200" t="s">
        <v>144</v>
      </c>
      <c r="C127" s="2" t="s">
        <v>144</v>
      </c>
      <c r="D127" s="200" t="s">
        <v>144</v>
      </c>
      <c r="E127" s="11" t="s">
        <v>857</v>
      </c>
      <c r="F127" s="55"/>
      <c r="H127" s="64"/>
    </row>
    <row r="128" spans="1:10" ht="25" x14ac:dyDescent="0.3">
      <c r="A128" s="10" t="s">
        <v>607</v>
      </c>
      <c r="B128" s="200" t="s">
        <v>144</v>
      </c>
      <c r="C128" s="2" t="s">
        <v>144</v>
      </c>
      <c r="D128" s="200" t="s">
        <v>144</v>
      </c>
      <c r="E128" s="11" t="s">
        <v>858</v>
      </c>
      <c r="F128" s="55"/>
      <c r="H128" s="64"/>
    </row>
    <row r="129" spans="1:10" s="7" customFormat="1" ht="25" x14ac:dyDescent="0.3">
      <c r="A129" s="16" t="s">
        <v>2790</v>
      </c>
      <c r="B129" s="201" t="s">
        <v>646</v>
      </c>
      <c r="C129" s="2" t="s">
        <v>646</v>
      </c>
      <c r="D129" s="203"/>
      <c r="E129" s="11" t="s">
        <v>779</v>
      </c>
      <c r="F129" s="55"/>
      <c r="G129" s="77"/>
      <c r="H129" s="64"/>
      <c r="I129" s="63"/>
      <c r="J129" s="63"/>
    </row>
    <row r="130" spans="1:10" ht="25" x14ac:dyDescent="0.3">
      <c r="A130" s="10" t="s">
        <v>608</v>
      </c>
      <c r="B130" s="200" t="s">
        <v>144</v>
      </c>
      <c r="C130" s="2" t="s">
        <v>144</v>
      </c>
      <c r="D130" s="200" t="s">
        <v>144</v>
      </c>
      <c r="E130" s="11" t="s">
        <v>859</v>
      </c>
      <c r="F130" s="55"/>
      <c r="H130" s="64"/>
    </row>
    <row r="131" spans="1:10" ht="25" x14ac:dyDescent="0.3">
      <c r="A131" s="10" t="s">
        <v>780</v>
      </c>
      <c r="B131" s="200" t="s">
        <v>144</v>
      </c>
      <c r="C131" s="2" t="s">
        <v>144</v>
      </c>
      <c r="D131" s="200" t="s">
        <v>144</v>
      </c>
      <c r="E131" s="16" t="s">
        <v>2624</v>
      </c>
      <c r="F131" s="55"/>
      <c r="H131" s="64"/>
    </row>
    <row r="132" spans="1:10" ht="37.5" x14ac:dyDescent="0.3">
      <c r="A132" s="10" t="s">
        <v>781</v>
      </c>
      <c r="B132" s="200" t="s">
        <v>144</v>
      </c>
      <c r="C132" s="2" t="s">
        <v>144</v>
      </c>
      <c r="D132" s="200" t="s">
        <v>144</v>
      </c>
      <c r="E132" s="16" t="s">
        <v>609</v>
      </c>
      <c r="F132" s="55"/>
      <c r="H132" s="64"/>
    </row>
    <row r="133" spans="1:10" ht="25" x14ac:dyDescent="0.3">
      <c r="A133" s="10" t="s">
        <v>410</v>
      </c>
      <c r="B133" s="200" t="s">
        <v>144</v>
      </c>
      <c r="C133" s="2" t="s">
        <v>144</v>
      </c>
      <c r="D133" s="200" t="s">
        <v>144</v>
      </c>
      <c r="E133" s="11" t="s">
        <v>860</v>
      </c>
      <c r="F133" s="55"/>
      <c r="H133" s="64"/>
    </row>
    <row r="134" spans="1:10" ht="25" x14ac:dyDescent="0.3">
      <c r="A134" s="10" t="s">
        <v>822</v>
      </c>
      <c r="B134" s="200" t="s">
        <v>144</v>
      </c>
      <c r="C134" s="2" t="s">
        <v>144</v>
      </c>
      <c r="D134" s="200" t="s">
        <v>144</v>
      </c>
      <c r="E134" s="11"/>
      <c r="F134" s="55"/>
      <c r="H134" s="64"/>
    </row>
    <row r="135" spans="1:10" s="7" customFormat="1" ht="25" x14ac:dyDescent="0.3">
      <c r="A135" s="16" t="s">
        <v>2791</v>
      </c>
      <c r="B135" s="201" t="s">
        <v>646</v>
      </c>
      <c r="C135" s="2" t="s">
        <v>646</v>
      </c>
      <c r="D135" s="203"/>
      <c r="E135" s="11" t="s">
        <v>861</v>
      </c>
      <c r="F135" s="55"/>
      <c r="G135" s="60"/>
      <c r="H135" s="64"/>
      <c r="I135" s="63"/>
      <c r="J135" s="63"/>
    </row>
    <row r="136" spans="1:10" s="7" customFormat="1" ht="25" x14ac:dyDescent="0.3">
      <c r="A136" s="16" t="s">
        <v>1430</v>
      </c>
      <c r="B136" s="201" t="s">
        <v>144</v>
      </c>
      <c r="C136" s="92" t="s">
        <v>144</v>
      </c>
      <c r="D136" s="201" t="s">
        <v>144</v>
      </c>
      <c r="E136" s="16" t="s">
        <v>2552</v>
      </c>
      <c r="F136" s="55"/>
      <c r="G136" s="95"/>
      <c r="H136" s="64"/>
      <c r="I136" s="63"/>
      <c r="J136" s="63"/>
    </row>
    <row r="137" spans="1:10" ht="38" x14ac:dyDescent="0.3">
      <c r="A137" s="16" t="s">
        <v>2396</v>
      </c>
      <c r="B137" s="200" t="s">
        <v>144</v>
      </c>
      <c r="C137" s="2" t="s">
        <v>144</v>
      </c>
      <c r="D137" s="200" t="s">
        <v>144</v>
      </c>
      <c r="F137" s="55"/>
      <c r="H137" s="64"/>
    </row>
    <row r="138" spans="1:10" ht="75" x14ac:dyDescent="0.3">
      <c r="A138" s="16" t="s">
        <v>2645</v>
      </c>
      <c r="B138" s="200" t="s">
        <v>646</v>
      </c>
      <c r="C138" s="2" t="s">
        <v>646</v>
      </c>
      <c r="D138" s="200" t="s">
        <v>646</v>
      </c>
      <c r="E138" s="16" t="s">
        <v>2553</v>
      </c>
      <c r="F138" s="55"/>
      <c r="H138" s="64"/>
    </row>
    <row r="139" spans="1:10" ht="25" x14ac:dyDescent="0.3">
      <c r="A139" s="16" t="s">
        <v>2847</v>
      </c>
      <c r="B139" s="200" t="s">
        <v>646</v>
      </c>
      <c r="C139" s="2" t="s">
        <v>646</v>
      </c>
      <c r="D139" s="200" t="s">
        <v>646</v>
      </c>
      <c r="E139" s="16" t="s">
        <v>2792</v>
      </c>
      <c r="F139" s="55"/>
      <c r="H139" s="64"/>
    </row>
    <row r="140" spans="1:10" x14ac:dyDescent="0.3">
      <c r="A140" s="16" t="s">
        <v>1429</v>
      </c>
      <c r="B140" s="200" t="s">
        <v>646</v>
      </c>
      <c r="C140" s="2" t="s">
        <v>646</v>
      </c>
      <c r="D140" s="200" t="s">
        <v>646</v>
      </c>
      <c r="E140" s="16" t="s">
        <v>2554</v>
      </c>
      <c r="F140" s="55"/>
      <c r="H140" s="64"/>
    </row>
    <row r="141" spans="1:10" ht="25" x14ac:dyDescent="0.3">
      <c r="A141" s="16" t="s">
        <v>1432</v>
      </c>
      <c r="B141" s="200" t="s">
        <v>646</v>
      </c>
      <c r="C141" s="2" t="s">
        <v>646</v>
      </c>
      <c r="D141" s="200" t="s">
        <v>646</v>
      </c>
      <c r="E141" s="2" t="s">
        <v>1433</v>
      </c>
      <c r="F141" s="55"/>
      <c r="H141" s="64"/>
    </row>
    <row r="142" spans="1:10" x14ac:dyDescent="0.3">
      <c r="A142" s="10" t="s">
        <v>216</v>
      </c>
      <c r="B142" s="200" t="s">
        <v>145</v>
      </c>
      <c r="C142" s="2" t="s">
        <v>145</v>
      </c>
      <c r="D142" s="200" t="s">
        <v>145</v>
      </c>
      <c r="E142" s="11"/>
      <c r="F142" s="55"/>
      <c r="H142" s="64"/>
    </row>
    <row r="143" spans="1:10" ht="37.5" x14ac:dyDescent="0.3">
      <c r="A143" s="16" t="s">
        <v>2873</v>
      </c>
      <c r="B143" s="200" t="s">
        <v>145</v>
      </c>
      <c r="C143" s="2" t="s">
        <v>145</v>
      </c>
      <c r="D143" s="200" t="s">
        <v>145</v>
      </c>
      <c r="E143" s="11"/>
      <c r="F143" s="55"/>
      <c r="G143" s="60" t="s">
        <v>1856</v>
      </c>
      <c r="H143" s="64"/>
    </row>
    <row r="144" spans="1:10" ht="37.5" x14ac:dyDescent="0.3">
      <c r="A144" s="16" t="s">
        <v>2874</v>
      </c>
      <c r="B144" s="200" t="s">
        <v>145</v>
      </c>
      <c r="C144" s="2" t="s">
        <v>145</v>
      </c>
      <c r="D144" s="200" t="s">
        <v>145</v>
      </c>
      <c r="E144" s="11"/>
      <c r="F144" s="55"/>
      <c r="G144" s="60" t="s">
        <v>993</v>
      </c>
      <c r="H144" s="64"/>
    </row>
    <row r="145" spans="1:10" ht="117.65" customHeight="1" x14ac:dyDescent="0.3">
      <c r="A145" s="16" t="s">
        <v>2875</v>
      </c>
      <c r="B145" s="200" t="s">
        <v>145</v>
      </c>
      <c r="C145" s="2" t="s">
        <v>145</v>
      </c>
      <c r="D145" s="200" t="s">
        <v>145</v>
      </c>
      <c r="E145" s="11"/>
      <c r="F145" s="55"/>
      <c r="G145" s="60" t="s">
        <v>1856</v>
      </c>
      <c r="H145" s="64"/>
    </row>
    <row r="146" spans="1:10" s="7" customFormat="1" ht="175.5" x14ac:dyDescent="0.3">
      <c r="A146" s="16" t="s">
        <v>2876</v>
      </c>
      <c r="B146" s="200"/>
      <c r="C146" s="2"/>
      <c r="D146" s="200" t="s">
        <v>145</v>
      </c>
      <c r="E146" s="4" t="s">
        <v>2555</v>
      </c>
      <c r="F146" s="55"/>
      <c r="G146" s="60" t="s">
        <v>1856</v>
      </c>
      <c r="H146" s="64"/>
      <c r="I146" s="63"/>
      <c r="J146" s="63"/>
    </row>
    <row r="147" spans="1:10" s="7" customFormat="1" ht="30" customHeight="1" x14ac:dyDescent="0.3">
      <c r="A147" s="5"/>
      <c r="B147" s="175"/>
      <c r="C147" s="175"/>
      <c r="D147" s="130"/>
      <c r="E147" s="1"/>
      <c r="F147" s="58"/>
      <c r="G147" s="60"/>
      <c r="H147" s="64"/>
      <c r="I147" s="63"/>
      <c r="J147" s="63"/>
    </row>
  </sheetData>
  <sheetProtection algorithmName="SHA-512" hashValue="1zcEY/R9zb7SpN97GAUBnkrjrNNbCw5LtdPZcioQi4pxXWshAbU8RJOR3Y03dAh+SYUIOumwkZRsbIo1M/zC1Q==" saltValue="bOga/+cmU5p6+jWP+xvsBA==" spinCount="100000" sheet="1" objects="1" scenarios="1" autoFilter="0"/>
  <autoFilter ref="B5:G146" xr:uid="{00000000-0009-0000-0000-000003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1" fitToHeight="100" orientation="landscape" r:id="rId1"/>
      <headerFooter alignWithMargins="0"/>
      <autoFilter ref="B1:G1" xr:uid="{1F63BC59-4B76-493E-955A-70BA01FC2F96}"/>
    </customSheetView>
  </customSheetViews>
  <mergeCells count="1">
    <mergeCell ref="B4:F4"/>
  </mergeCells>
  <phoneticPr fontId="2" type="noConversion"/>
  <dataValidations count="1">
    <dataValidation type="list" allowBlank="1" showInputMessage="1" showErrorMessage="1" sqref="F6:F147" xr:uid="{00000000-0002-0000-0300-000000000000}">
      <formula1>"Akkoord,Opmerking,N.v.t.,,"</formula1>
    </dataValidation>
  </dataValidations>
  <hyperlinks>
    <hyperlink ref="A6" location="Waarderingsgrondslagen!A3" display="Prijsgrondslagen" xr:uid="{00000000-0004-0000-0300-000000000000}"/>
    <hyperlink ref="A35" location="Waarderingsgrondslagen!A30" display="Grenzen Groot, Middelgroot Klein" xr:uid="{00000000-0004-0000-0300-000001000000}"/>
    <hyperlink ref="A57" location="Waarderingsgrondslagen!A49" display="Continuïteit" xr:uid="{00000000-0004-0000-0300-000002000000}"/>
    <hyperlink ref="A65" location="Waarderingsgrondslagen!A64" display="Vreemde valuta " xr:uid="{00000000-0004-0000-0300-000003000000}"/>
    <hyperlink ref="A96" location="Waarderingsgrondslagen!A104" display="Bijzondere waardeverminderingen" xr:uid="{00000000-0004-0000-0300-000004000000}"/>
    <hyperlink ref="A5" location="Waarderingsgrondslagen!A1" display="Jaarverslaggeving waarderingsgrondslagen" xr:uid="{00000000-0004-0000-0300-000005000000}"/>
    <hyperlink ref="A122" location="Waarderingsgrondslagen!A141" display="Stelselwijziging, schattingswijziging, foutenherstel" xr:uid="{00000000-0004-0000-0300-000006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83" r:id="rId5" name="Button 11">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tabColor rgb="FF951B81"/>
    <pageSetUpPr fitToPage="1"/>
  </sheetPr>
  <dimension ref="A1:J107"/>
  <sheetViews>
    <sheetView showGridLines="0" zoomScaleNormal="100" workbookViewId="0">
      <pane ySplit="5" topLeftCell="A60" activePane="bottomLeft" state="frozen"/>
      <selection activeCell="A119" sqref="A119"/>
      <selection pane="bottomLeft" activeCell="A92" sqref="A92"/>
    </sheetView>
  </sheetViews>
  <sheetFormatPr defaultColWidth="9.1796875" defaultRowHeight="13" x14ac:dyDescent="0.25"/>
  <cols>
    <col min="1" max="1" width="60.7265625" style="6" customWidth="1"/>
    <col min="2" max="2" width="10.7265625" style="130" customWidth="1"/>
    <col min="3" max="3" width="10.81640625" style="130" customWidth="1"/>
    <col min="4" max="4" width="8.453125" style="130" customWidth="1"/>
    <col min="5" max="5" width="21" style="6" bestFit="1"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B1" s="83"/>
      <c r="C1" s="83"/>
      <c r="D1" s="83"/>
      <c r="F1" s="56"/>
      <c r="G1" s="75"/>
      <c r="H1" s="56"/>
      <c r="I1" s="56"/>
      <c r="J1" s="56"/>
    </row>
    <row r="2" spans="1:10" s="45" customFormat="1" ht="15.5" x14ac:dyDescent="0.25">
      <c r="A2" s="184" t="s">
        <v>1098</v>
      </c>
      <c r="B2" s="84"/>
      <c r="C2" s="84"/>
      <c r="D2" s="84"/>
      <c r="F2" s="57"/>
      <c r="G2" s="76"/>
      <c r="H2" s="57"/>
      <c r="I2" s="57"/>
      <c r="J2" s="57"/>
    </row>
    <row r="4" spans="1:10" ht="20.149999999999999" customHeight="1" x14ac:dyDescent="0.25">
      <c r="B4" s="252" t="str">
        <f>CONCATENATE("Klant en boekjaar: ",Klantnummer,"; ",Naam_klant,";  ",Boekjaar)</f>
        <v xml:space="preserve">Klant en boekjaar: ; ;  </v>
      </c>
      <c r="C4" s="253"/>
      <c r="D4" s="253"/>
      <c r="E4" s="253"/>
      <c r="F4" s="253"/>
    </row>
    <row r="5" spans="1:10" ht="15.5" x14ac:dyDescent="0.25">
      <c r="A5" s="204" t="s">
        <v>862</v>
      </c>
      <c r="B5" s="205" t="s">
        <v>642</v>
      </c>
      <c r="C5" s="205" t="s">
        <v>643</v>
      </c>
      <c r="D5" s="205" t="s">
        <v>644</v>
      </c>
      <c r="E5" s="198" t="s">
        <v>645</v>
      </c>
      <c r="F5" s="197" t="s">
        <v>54</v>
      </c>
      <c r="G5" s="199" t="s">
        <v>2858</v>
      </c>
    </row>
    <row r="6" spans="1:10" s="46" customFormat="1" ht="25" x14ac:dyDescent="0.3">
      <c r="A6" s="34" t="s">
        <v>862</v>
      </c>
      <c r="B6" s="201" t="s">
        <v>144</v>
      </c>
      <c r="C6" s="92" t="s">
        <v>144</v>
      </c>
      <c r="D6" s="201" t="s">
        <v>144</v>
      </c>
      <c r="E6" s="36"/>
      <c r="F6" s="50" t="s">
        <v>2556</v>
      </c>
      <c r="G6" s="60"/>
      <c r="H6" s="64"/>
      <c r="I6" s="60"/>
      <c r="J6" s="60"/>
    </row>
    <row r="7" spans="1:10" s="46" customFormat="1" x14ac:dyDescent="0.3">
      <c r="A7" s="34" t="s">
        <v>2205</v>
      </c>
      <c r="B7" s="201" t="s">
        <v>144</v>
      </c>
      <c r="C7" s="92" t="s">
        <v>144</v>
      </c>
      <c r="D7" s="201" t="s">
        <v>144</v>
      </c>
      <c r="E7" s="36"/>
      <c r="F7" s="55"/>
      <c r="G7" s="60"/>
      <c r="H7" s="64"/>
      <c r="I7" s="60"/>
      <c r="J7" s="60"/>
    </row>
    <row r="8" spans="1:10" ht="39.75" customHeight="1" x14ac:dyDescent="0.3">
      <c r="A8" s="10" t="s">
        <v>782</v>
      </c>
      <c r="B8" s="201" t="s">
        <v>144</v>
      </c>
      <c r="C8" s="92" t="s">
        <v>144</v>
      </c>
      <c r="D8" s="201" t="s">
        <v>144</v>
      </c>
      <c r="E8" s="2" t="s">
        <v>2605</v>
      </c>
      <c r="F8" s="55"/>
      <c r="H8" s="64"/>
    </row>
    <row r="9" spans="1:10" x14ac:dyDescent="0.3">
      <c r="A9" s="16" t="s">
        <v>863</v>
      </c>
      <c r="B9" s="201" t="s">
        <v>144</v>
      </c>
      <c r="C9" s="92" t="s">
        <v>144</v>
      </c>
      <c r="D9" s="201" t="s">
        <v>144</v>
      </c>
      <c r="E9" s="11"/>
      <c r="F9" s="55"/>
      <c r="H9" s="64"/>
    </row>
    <row r="10" spans="1:10" x14ac:dyDescent="0.3">
      <c r="A10" s="10" t="s">
        <v>864</v>
      </c>
      <c r="B10" s="201" t="s">
        <v>144</v>
      </c>
      <c r="C10" s="92" t="s">
        <v>144</v>
      </c>
      <c r="D10" s="201" t="s">
        <v>144</v>
      </c>
      <c r="E10" s="2" t="s">
        <v>865</v>
      </c>
      <c r="F10" s="55"/>
      <c r="H10" s="64"/>
    </row>
    <row r="11" spans="1:10" x14ac:dyDescent="0.3">
      <c r="A11" s="79" t="s">
        <v>1110</v>
      </c>
      <c r="B11" s="201" t="s">
        <v>144</v>
      </c>
      <c r="C11" s="92" t="s">
        <v>144</v>
      </c>
      <c r="D11" s="201" t="s">
        <v>144</v>
      </c>
      <c r="E11" s="11"/>
      <c r="F11" s="55"/>
      <c r="H11" s="64"/>
    </row>
    <row r="12" spans="1:10" x14ac:dyDescent="0.3">
      <c r="A12" s="79" t="s">
        <v>1109</v>
      </c>
      <c r="B12" s="201" t="s">
        <v>144</v>
      </c>
      <c r="C12" s="92" t="s">
        <v>144</v>
      </c>
      <c r="D12" s="201" t="s">
        <v>144</v>
      </c>
      <c r="E12" s="11"/>
      <c r="F12" s="55"/>
      <c r="H12" s="64"/>
    </row>
    <row r="13" spans="1:10" ht="25" x14ac:dyDescent="0.3">
      <c r="A13" s="15" t="s">
        <v>447</v>
      </c>
      <c r="B13" s="201" t="s">
        <v>144</v>
      </c>
      <c r="C13" s="92" t="s">
        <v>144</v>
      </c>
      <c r="D13" s="201" t="s">
        <v>144</v>
      </c>
      <c r="E13" s="11"/>
      <c r="F13" s="55"/>
      <c r="H13" s="64"/>
    </row>
    <row r="14" spans="1:10" x14ac:dyDescent="0.3">
      <c r="A14" s="16" t="s">
        <v>1802</v>
      </c>
      <c r="B14" s="201" t="s">
        <v>144</v>
      </c>
      <c r="C14" s="92" t="s">
        <v>144</v>
      </c>
      <c r="D14" s="201" t="s">
        <v>144</v>
      </c>
      <c r="E14" s="11"/>
      <c r="F14" s="55"/>
      <c r="H14" s="64"/>
    </row>
    <row r="15" spans="1:10" ht="25" x14ac:dyDescent="0.3">
      <c r="A15" s="10" t="s">
        <v>783</v>
      </c>
      <c r="B15" s="201" t="s">
        <v>144</v>
      </c>
      <c r="C15" s="92" t="s">
        <v>144</v>
      </c>
      <c r="D15" s="201" t="s">
        <v>144</v>
      </c>
      <c r="E15" s="11"/>
      <c r="F15" s="55"/>
      <c r="H15" s="64"/>
    </row>
    <row r="16" spans="1:10" x14ac:dyDescent="0.3">
      <c r="A16" s="79" t="s">
        <v>1111</v>
      </c>
      <c r="B16" s="201" t="s">
        <v>144</v>
      </c>
      <c r="C16" s="92" t="s">
        <v>144</v>
      </c>
      <c r="D16" s="201" t="s">
        <v>144</v>
      </c>
      <c r="E16" s="11" t="s">
        <v>784</v>
      </c>
      <c r="F16" s="55"/>
      <c r="H16" s="64"/>
    </row>
    <row r="17" spans="1:10" ht="42" customHeight="1" x14ac:dyDescent="0.3">
      <c r="A17" s="79" t="s">
        <v>1804</v>
      </c>
      <c r="B17" s="201" t="s">
        <v>144</v>
      </c>
      <c r="C17" s="92" t="s">
        <v>144</v>
      </c>
      <c r="D17" s="201" t="s">
        <v>144</v>
      </c>
      <c r="E17" s="2" t="s">
        <v>1803</v>
      </c>
      <c r="F17" s="55"/>
      <c r="H17" s="64"/>
    </row>
    <row r="18" spans="1:10" ht="25" x14ac:dyDescent="0.3">
      <c r="A18" s="79" t="s">
        <v>2206</v>
      </c>
      <c r="B18" s="201" t="s">
        <v>144</v>
      </c>
      <c r="C18" s="92" t="s">
        <v>144</v>
      </c>
      <c r="D18" s="201" t="s">
        <v>144</v>
      </c>
      <c r="E18" s="16" t="s">
        <v>2207</v>
      </c>
      <c r="F18" s="55"/>
      <c r="H18" s="64"/>
    </row>
    <row r="19" spans="1:10" ht="25" x14ac:dyDescent="0.3">
      <c r="A19" s="10" t="s">
        <v>146</v>
      </c>
      <c r="B19" s="201" t="s">
        <v>144</v>
      </c>
      <c r="C19" s="92" t="s">
        <v>144</v>
      </c>
      <c r="D19" s="201" t="s">
        <v>144</v>
      </c>
      <c r="E19" s="11" t="s">
        <v>933</v>
      </c>
      <c r="F19" s="55"/>
      <c r="H19" s="64"/>
    </row>
    <row r="20" spans="1:10" ht="37.5" x14ac:dyDescent="0.3">
      <c r="A20" s="16" t="s">
        <v>823</v>
      </c>
      <c r="B20" s="201" t="s">
        <v>144</v>
      </c>
      <c r="C20" s="92" t="s">
        <v>144</v>
      </c>
      <c r="D20" s="201" t="s">
        <v>144</v>
      </c>
      <c r="E20" s="16" t="s">
        <v>2557</v>
      </c>
      <c r="F20" s="55"/>
      <c r="H20" s="64"/>
    </row>
    <row r="21" spans="1:10" ht="25" x14ac:dyDescent="0.3">
      <c r="A21" s="16" t="s">
        <v>1434</v>
      </c>
      <c r="B21" s="201" t="s">
        <v>144</v>
      </c>
      <c r="C21" s="92" t="s">
        <v>144</v>
      </c>
      <c r="D21" s="201" t="s">
        <v>144</v>
      </c>
      <c r="E21" s="16" t="s">
        <v>2558</v>
      </c>
      <c r="F21" s="55"/>
      <c r="H21" s="64"/>
    </row>
    <row r="22" spans="1:10" x14ac:dyDescent="0.3">
      <c r="A22" s="16" t="s">
        <v>1805</v>
      </c>
      <c r="B22" s="201" t="s">
        <v>646</v>
      </c>
      <c r="C22" s="92" t="s">
        <v>646</v>
      </c>
      <c r="D22" s="201" t="s">
        <v>646</v>
      </c>
      <c r="E22" s="11"/>
      <c r="F22" s="55"/>
      <c r="H22" s="64"/>
    </row>
    <row r="23" spans="1:10" x14ac:dyDescent="0.3">
      <c r="A23" s="16" t="s">
        <v>1112</v>
      </c>
      <c r="B23" s="201" t="s">
        <v>646</v>
      </c>
      <c r="C23" s="92" t="s">
        <v>646</v>
      </c>
      <c r="D23" s="201" t="s">
        <v>646</v>
      </c>
      <c r="E23" s="11" t="s">
        <v>867</v>
      </c>
      <c r="F23" s="55"/>
      <c r="H23" s="64"/>
    </row>
    <row r="24" spans="1:10" s="7" customFormat="1" x14ac:dyDescent="0.3">
      <c r="A24" s="16" t="s">
        <v>934</v>
      </c>
      <c r="B24" s="201" t="s">
        <v>646</v>
      </c>
      <c r="C24" s="92" t="s">
        <v>843</v>
      </c>
      <c r="D24" s="201"/>
      <c r="E24" s="11"/>
      <c r="F24" s="55"/>
      <c r="G24" s="77"/>
      <c r="H24" s="64"/>
      <c r="I24" s="63"/>
      <c r="J24" s="63"/>
    </row>
    <row r="25" spans="1:10" s="7" customFormat="1" x14ac:dyDescent="0.3">
      <c r="A25" s="16" t="s">
        <v>1113</v>
      </c>
      <c r="B25" s="201" t="s">
        <v>646</v>
      </c>
      <c r="C25" s="92" t="s">
        <v>646</v>
      </c>
      <c r="D25" s="201" t="s">
        <v>646</v>
      </c>
      <c r="E25" s="11"/>
      <c r="F25" s="55"/>
      <c r="G25" s="77"/>
      <c r="H25" s="64"/>
      <c r="I25" s="63"/>
      <c r="J25" s="63"/>
    </row>
    <row r="26" spans="1:10" s="7" customFormat="1" x14ac:dyDescent="0.3">
      <c r="A26" s="16" t="s">
        <v>1435</v>
      </c>
      <c r="B26" s="201" t="s">
        <v>646</v>
      </c>
      <c r="C26" s="92" t="s">
        <v>843</v>
      </c>
      <c r="D26" s="201"/>
      <c r="E26" s="11"/>
      <c r="F26" s="55"/>
      <c r="G26" s="77"/>
      <c r="H26" s="64"/>
      <c r="I26" s="63"/>
      <c r="J26" s="63"/>
    </row>
    <row r="27" spans="1:10" s="7" customFormat="1" ht="25" x14ac:dyDescent="0.3">
      <c r="A27" s="16" t="s">
        <v>1114</v>
      </c>
      <c r="B27" s="201" t="s">
        <v>646</v>
      </c>
      <c r="C27" s="92" t="s">
        <v>843</v>
      </c>
      <c r="D27" s="201"/>
      <c r="E27" s="11"/>
      <c r="F27" s="55"/>
      <c r="G27" s="77"/>
      <c r="H27" s="64"/>
      <c r="I27" s="63"/>
      <c r="J27" s="63"/>
    </row>
    <row r="28" spans="1:10" s="7" customFormat="1" x14ac:dyDescent="0.3">
      <c r="A28" s="16" t="s">
        <v>1436</v>
      </c>
      <c r="B28" s="201" t="s">
        <v>646</v>
      </c>
      <c r="C28" s="92" t="s">
        <v>646</v>
      </c>
      <c r="D28" s="201"/>
      <c r="E28" s="11"/>
      <c r="F28" s="55"/>
      <c r="G28" s="77"/>
      <c r="H28" s="64"/>
      <c r="I28" s="63"/>
      <c r="J28" s="63"/>
    </row>
    <row r="29" spans="1:10" s="7" customFormat="1" x14ac:dyDescent="0.3">
      <c r="A29" s="16" t="s">
        <v>1115</v>
      </c>
      <c r="B29" s="201" t="s">
        <v>646</v>
      </c>
      <c r="C29" s="92" t="s">
        <v>843</v>
      </c>
      <c r="D29" s="201"/>
      <c r="E29" s="11"/>
      <c r="F29" s="55"/>
      <c r="G29" s="77"/>
      <c r="H29" s="64"/>
      <c r="I29" s="63"/>
      <c r="J29" s="63"/>
    </row>
    <row r="30" spans="1:10" s="7" customFormat="1" ht="27.75" customHeight="1" x14ac:dyDescent="0.3">
      <c r="A30" s="16" t="s">
        <v>2877</v>
      </c>
      <c r="B30" s="201" t="s">
        <v>646</v>
      </c>
      <c r="C30" s="92" t="s">
        <v>646</v>
      </c>
      <c r="D30" s="201" t="s">
        <v>646</v>
      </c>
      <c r="E30" s="16" t="s">
        <v>1437</v>
      </c>
      <c r="F30" s="55"/>
      <c r="G30" s="77" t="s">
        <v>1856</v>
      </c>
      <c r="H30" s="64"/>
      <c r="I30" s="63"/>
      <c r="J30" s="63"/>
    </row>
    <row r="31" spans="1:10" s="7" customFormat="1" ht="25" x14ac:dyDescent="0.3">
      <c r="A31" s="16" t="s">
        <v>2793</v>
      </c>
      <c r="B31" s="201" t="s">
        <v>646</v>
      </c>
      <c r="C31" s="92" t="s">
        <v>646</v>
      </c>
      <c r="D31" s="201"/>
      <c r="E31" s="16" t="s">
        <v>634</v>
      </c>
      <c r="F31" s="55"/>
      <c r="G31" s="77"/>
      <c r="H31" s="64"/>
      <c r="I31" s="63"/>
      <c r="J31" s="63"/>
    </row>
    <row r="32" spans="1:10" s="7" customFormat="1" ht="25" x14ac:dyDescent="0.3">
      <c r="A32" s="16" t="s">
        <v>2794</v>
      </c>
      <c r="B32" s="201" t="s">
        <v>646</v>
      </c>
      <c r="C32" s="92" t="s">
        <v>646</v>
      </c>
      <c r="D32" s="201"/>
      <c r="E32" s="16"/>
      <c r="F32" s="55"/>
      <c r="G32" s="77"/>
      <c r="H32" s="64"/>
      <c r="I32" s="63"/>
      <c r="J32" s="63"/>
    </row>
    <row r="33" spans="1:10" s="7" customFormat="1" x14ac:dyDescent="0.3">
      <c r="A33" s="16" t="s">
        <v>2827</v>
      </c>
      <c r="B33" s="201" t="s">
        <v>646</v>
      </c>
      <c r="C33" s="92" t="s">
        <v>646</v>
      </c>
      <c r="D33" s="201"/>
      <c r="E33" s="16"/>
      <c r="F33" s="55"/>
      <c r="G33" s="77"/>
      <c r="H33" s="64"/>
      <c r="I33" s="63"/>
      <c r="J33" s="63"/>
    </row>
    <row r="34" spans="1:10" s="7" customFormat="1" ht="37.5" x14ac:dyDescent="0.3">
      <c r="A34" s="16" t="s">
        <v>2795</v>
      </c>
      <c r="B34" s="201" t="s">
        <v>646</v>
      </c>
      <c r="C34" s="92" t="s">
        <v>646</v>
      </c>
      <c r="D34" s="201"/>
      <c r="E34" s="16"/>
      <c r="F34" s="55"/>
      <c r="G34" s="77"/>
      <c r="H34" s="64"/>
      <c r="I34" s="63"/>
      <c r="J34" s="63"/>
    </row>
    <row r="35" spans="1:10" s="7" customFormat="1" ht="25" x14ac:dyDescent="0.3">
      <c r="A35" s="16" t="s">
        <v>2796</v>
      </c>
      <c r="B35" s="201" t="s">
        <v>646</v>
      </c>
      <c r="C35" s="92" t="s">
        <v>646</v>
      </c>
      <c r="D35" s="201"/>
      <c r="E35" s="16"/>
      <c r="F35" s="55"/>
      <c r="G35" s="77"/>
      <c r="H35" s="64"/>
      <c r="I35" s="63"/>
      <c r="J35" s="63"/>
    </row>
    <row r="36" spans="1:10" s="7" customFormat="1" ht="25" x14ac:dyDescent="0.3">
      <c r="A36" s="16" t="s">
        <v>2024</v>
      </c>
      <c r="B36" s="201" t="s">
        <v>800</v>
      </c>
      <c r="C36" s="92" t="s">
        <v>800</v>
      </c>
      <c r="D36" s="201" t="s">
        <v>800</v>
      </c>
      <c r="E36" s="16" t="s">
        <v>2025</v>
      </c>
      <c r="F36" s="55"/>
      <c r="G36" s="77"/>
      <c r="H36" s="64"/>
      <c r="I36" s="63"/>
      <c r="J36" s="63"/>
    </row>
    <row r="37" spans="1:10" s="7" customFormat="1" x14ac:dyDescent="0.3">
      <c r="A37" s="10" t="s">
        <v>785</v>
      </c>
      <c r="B37" s="201" t="s">
        <v>646</v>
      </c>
      <c r="C37" s="92" t="s">
        <v>843</v>
      </c>
      <c r="D37" s="201" t="s">
        <v>843</v>
      </c>
      <c r="E37" s="11" t="s">
        <v>633</v>
      </c>
      <c r="F37" s="55"/>
      <c r="G37" s="77"/>
      <c r="H37" s="64"/>
      <c r="I37" s="63"/>
      <c r="J37" s="63"/>
    </row>
    <row r="38" spans="1:10" s="7" customFormat="1" ht="25" x14ac:dyDescent="0.3">
      <c r="A38" s="16" t="s">
        <v>824</v>
      </c>
      <c r="B38" s="201" t="s">
        <v>646</v>
      </c>
      <c r="C38" s="92" t="s">
        <v>844</v>
      </c>
      <c r="D38" s="201"/>
      <c r="E38" s="11" t="s">
        <v>634</v>
      </c>
      <c r="F38" s="55"/>
      <c r="G38" s="77"/>
      <c r="H38" s="64"/>
      <c r="I38" s="63"/>
      <c r="J38" s="63"/>
    </row>
    <row r="39" spans="1:10" s="7" customFormat="1" x14ac:dyDescent="0.3">
      <c r="A39" s="79" t="s">
        <v>1116</v>
      </c>
      <c r="B39" s="201" t="s">
        <v>646</v>
      </c>
      <c r="C39" s="92" t="s">
        <v>844</v>
      </c>
      <c r="D39" s="201"/>
      <c r="E39" s="11"/>
      <c r="F39" s="55"/>
      <c r="G39" s="77"/>
      <c r="H39" s="64"/>
      <c r="I39" s="63"/>
      <c r="J39" s="63"/>
    </row>
    <row r="40" spans="1:10" s="7" customFormat="1" x14ac:dyDescent="0.3">
      <c r="A40" s="79" t="s">
        <v>1117</v>
      </c>
      <c r="B40" s="201" t="s">
        <v>646</v>
      </c>
      <c r="C40" s="92" t="s">
        <v>844</v>
      </c>
      <c r="D40" s="201"/>
      <c r="E40" s="11"/>
      <c r="F40" s="55"/>
      <c r="G40" s="77"/>
      <c r="H40" s="64"/>
      <c r="I40" s="63"/>
      <c r="J40" s="63"/>
    </row>
    <row r="41" spans="1:10" s="7" customFormat="1" x14ac:dyDescent="0.3">
      <c r="A41" s="79" t="s">
        <v>1118</v>
      </c>
      <c r="B41" s="201" t="s">
        <v>646</v>
      </c>
      <c r="C41" s="92" t="s">
        <v>844</v>
      </c>
      <c r="D41" s="201"/>
      <c r="E41" s="11"/>
      <c r="F41" s="55"/>
      <c r="G41" s="77"/>
      <c r="H41" s="64"/>
      <c r="I41" s="63"/>
      <c r="J41" s="63"/>
    </row>
    <row r="42" spans="1:10" s="7" customFormat="1" x14ac:dyDescent="0.3">
      <c r="A42" s="79" t="s">
        <v>1720</v>
      </c>
      <c r="B42" s="201" t="s">
        <v>646</v>
      </c>
      <c r="C42" s="92" t="s">
        <v>844</v>
      </c>
      <c r="D42" s="201"/>
      <c r="E42" s="11"/>
      <c r="F42" s="55"/>
      <c r="G42" s="77"/>
      <c r="H42" s="64"/>
      <c r="I42" s="63"/>
      <c r="J42" s="63"/>
    </row>
    <row r="43" spans="1:10" s="7" customFormat="1" x14ac:dyDescent="0.3">
      <c r="A43" s="79" t="s">
        <v>1119</v>
      </c>
      <c r="B43" s="201" t="s">
        <v>646</v>
      </c>
      <c r="C43" s="92" t="s">
        <v>844</v>
      </c>
      <c r="D43" s="201"/>
      <c r="E43" s="11"/>
      <c r="F43" s="55"/>
      <c r="G43" s="77"/>
      <c r="H43" s="64"/>
      <c r="I43" s="63"/>
      <c r="J43" s="63"/>
    </row>
    <row r="44" spans="1:10" s="7" customFormat="1" x14ac:dyDescent="0.3">
      <c r="A44" s="79" t="s">
        <v>1120</v>
      </c>
      <c r="B44" s="201" t="s">
        <v>646</v>
      </c>
      <c r="C44" s="92" t="s">
        <v>843</v>
      </c>
      <c r="D44" s="201" t="s">
        <v>843</v>
      </c>
      <c r="E44" s="11" t="s">
        <v>707</v>
      </c>
      <c r="F44" s="55"/>
      <c r="G44" s="77"/>
      <c r="H44" s="64"/>
      <c r="I44" s="63"/>
      <c r="J44" s="63"/>
    </row>
    <row r="45" spans="1:10" s="7" customFormat="1" x14ac:dyDescent="0.3">
      <c r="A45" s="79" t="s">
        <v>1121</v>
      </c>
      <c r="B45" s="201" t="s">
        <v>646</v>
      </c>
      <c r="C45" s="92" t="s">
        <v>844</v>
      </c>
      <c r="D45" s="201"/>
      <c r="E45" s="11"/>
      <c r="F45" s="55"/>
      <c r="G45" s="77"/>
      <c r="H45" s="64"/>
      <c r="I45" s="63"/>
      <c r="J45" s="63"/>
    </row>
    <row r="46" spans="1:10" s="7" customFormat="1" x14ac:dyDescent="0.3">
      <c r="A46" s="15" t="s">
        <v>660</v>
      </c>
      <c r="B46" s="201" t="s">
        <v>646</v>
      </c>
      <c r="C46" s="92" t="s">
        <v>844</v>
      </c>
      <c r="D46" s="201"/>
      <c r="E46" s="11"/>
      <c r="F46" s="55"/>
      <c r="G46" s="77"/>
      <c r="H46" s="64"/>
      <c r="I46" s="63"/>
      <c r="J46" s="63"/>
    </row>
    <row r="47" spans="1:10" s="7" customFormat="1" x14ac:dyDescent="0.3">
      <c r="A47" s="10" t="s">
        <v>885</v>
      </c>
      <c r="B47" s="201" t="s">
        <v>646</v>
      </c>
      <c r="C47" s="92" t="s">
        <v>844</v>
      </c>
      <c r="D47" s="201" t="s">
        <v>843</v>
      </c>
      <c r="E47" s="11" t="s">
        <v>708</v>
      </c>
      <c r="F47" s="55"/>
      <c r="G47" s="77"/>
      <c r="H47" s="64"/>
      <c r="I47" s="63"/>
      <c r="J47" s="63"/>
    </row>
    <row r="48" spans="1:10" s="7" customFormat="1" x14ac:dyDescent="0.3">
      <c r="A48" s="10" t="s">
        <v>635</v>
      </c>
      <c r="B48" s="201" t="s">
        <v>646</v>
      </c>
      <c r="C48" s="92" t="s">
        <v>800</v>
      </c>
      <c r="D48" s="201" t="s">
        <v>646</v>
      </c>
      <c r="E48" s="11"/>
      <c r="F48" s="55"/>
      <c r="G48" s="77"/>
      <c r="H48" s="64"/>
      <c r="I48" s="63"/>
      <c r="J48" s="63"/>
    </row>
    <row r="49" spans="1:10" s="7" customFormat="1" x14ac:dyDescent="0.3">
      <c r="A49" s="15" t="s">
        <v>786</v>
      </c>
      <c r="B49" s="201" t="s">
        <v>646</v>
      </c>
      <c r="C49" s="92"/>
      <c r="D49" s="201"/>
      <c r="E49" s="11"/>
      <c r="F49" s="55"/>
      <c r="G49" s="77"/>
      <c r="H49" s="64"/>
      <c r="I49" s="63"/>
      <c r="J49" s="63"/>
    </row>
    <row r="50" spans="1:10" s="7" customFormat="1" ht="25" x14ac:dyDescent="0.3">
      <c r="A50" s="10" t="s">
        <v>147</v>
      </c>
      <c r="B50" s="201" t="s">
        <v>646</v>
      </c>
      <c r="C50" s="92"/>
      <c r="D50" s="201"/>
      <c r="E50" s="11" t="s">
        <v>634</v>
      </c>
      <c r="F50" s="55"/>
      <c r="G50" s="77"/>
      <c r="H50" s="64"/>
      <c r="I50" s="63"/>
      <c r="J50" s="63"/>
    </row>
    <row r="51" spans="1:10" x14ac:dyDescent="0.3">
      <c r="A51" s="10" t="s">
        <v>599</v>
      </c>
      <c r="B51" s="201" t="s">
        <v>145</v>
      </c>
      <c r="C51" s="92" t="s">
        <v>145</v>
      </c>
      <c r="D51" s="201" t="s">
        <v>145</v>
      </c>
      <c r="E51" s="11"/>
      <c r="F51" s="55"/>
      <c r="H51" s="64"/>
    </row>
    <row r="52" spans="1:10" ht="12.75" customHeight="1" x14ac:dyDescent="0.3">
      <c r="A52" s="16" t="s">
        <v>1721</v>
      </c>
      <c r="B52" s="201" t="s">
        <v>145</v>
      </c>
      <c r="C52" s="92" t="s">
        <v>145</v>
      </c>
      <c r="D52" s="201" t="s">
        <v>145</v>
      </c>
      <c r="E52" s="11"/>
      <c r="F52" s="55"/>
      <c r="H52" s="64"/>
    </row>
    <row r="53" spans="1:10" ht="25" x14ac:dyDescent="0.3">
      <c r="A53" s="16" t="s">
        <v>2171</v>
      </c>
      <c r="B53" s="201" t="s">
        <v>145</v>
      </c>
      <c r="C53" s="92" t="s">
        <v>145</v>
      </c>
      <c r="D53" s="201" t="s">
        <v>145</v>
      </c>
      <c r="E53" s="2" t="s">
        <v>1806</v>
      </c>
      <c r="F53" s="55"/>
      <c r="H53" s="64"/>
    </row>
    <row r="54" spans="1:10" ht="25" x14ac:dyDescent="0.3">
      <c r="A54" s="16" t="s">
        <v>1807</v>
      </c>
      <c r="B54" s="201" t="s">
        <v>145</v>
      </c>
      <c r="C54" s="92" t="s">
        <v>145</v>
      </c>
      <c r="D54" s="201" t="s">
        <v>145</v>
      </c>
      <c r="E54" s="2" t="s">
        <v>1808</v>
      </c>
      <c r="F54" s="55"/>
      <c r="H54" s="64"/>
    </row>
    <row r="55" spans="1:10" s="7" customFormat="1" x14ac:dyDescent="0.3">
      <c r="A55" s="10" t="s">
        <v>636</v>
      </c>
      <c r="B55" s="201" t="s">
        <v>144</v>
      </c>
      <c r="C55" s="92" t="s">
        <v>144</v>
      </c>
      <c r="D55" s="201" t="s">
        <v>144</v>
      </c>
      <c r="E55" s="11"/>
      <c r="F55" s="55"/>
      <c r="G55" s="60"/>
      <c r="H55" s="64"/>
      <c r="I55" s="63"/>
      <c r="J55" s="63"/>
    </row>
    <row r="56" spans="1:10" s="46" customFormat="1" x14ac:dyDescent="0.3">
      <c r="A56" s="34" t="s">
        <v>637</v>
      </c>
      <c r="B56" s="201" t="s">
        <v>144</v>
      </c>
      <c r="C56" s="92" t="s">
        <v>144</v>
      </c>
      <c r="D56" s="201" t="s">
        <v>144</v>
      </c>
      <c r="E56" s="36"/>
      <c r="F56" s="55"/>
      <c r="G56" s="60"/>
      <c r="H56" s="64"/>
      <c r="I56" s="60"/>
      <c r="J56" s="60"/>
    </row>
    <row r="57" spans="1:10" x14ac:dyDescent="0.3">
      <c r="A57" s="10" t="s">
        <v>863</v>
      </c>
      <c r="B57" s="201" t="s">
        <v>144</v>
      </c>
      <c r="C57" s="92" t="s">
        <v>144</v>
      </c>
      <c r="D57" s="201" t="s">
        <v>144</v>
      </c>
      <c r="E57" s="11"/>
      <c r="F57" s="55"/>
      <c r="H57" s="64"/>
    </row>
    <row r="58" spans="1:10" ht="25" x14ac:dyDescent="0.3">
      <c r="A58" s="10" t="s">
        <v>787</v>
      </c>
      <c r="B58" s="201" t="s">
        <v>144</v>
      </c>
      <c r="C58" s="92" t="s">
        <v>144</v>
      </c>
      <c r="D58" s="201" t="s">
        <v>144</v>
      </c>
      <c r="E58" s="11" t="s">
        <v>825</v>
      </c>
      <c r="F58" s="55"/>
      <c r="H58" s="64"/>
    </row>
    <row r="59" spans="1:10" ht="25" x14ac:dyDescent="0.3">
      <c r="A59" s="10" t="s">
        <v>806</v>
      </c>
      <c r="B59" s="201" t="s">
        <v>144</v>
      </c>
      <c r="C59" s="92" t="s">
        <v>144</v>
      </c>
      <c r="D59" s="201" t="s">
        <v>144</v>
      </c>
      <c r="E59" s="11" t="s">
        <v>638</v>
      </c>
      <c r="F59" s="55"/>
      <c r="H59" s="64"/>
    </row>
    <row r="60" spans="1:10" x14ac:dyDescent="0.3">
      <c r="A60" s="10" t="s">
        <v>302</v>
      </c>
      <c r="B60" s="201" t="s">
        <v>144</v>
      </c>
      <c r="C60" s="92" t="s">
        <v>144</v>
      </c>
      <c r="D60" s="201" t="s">
        <v>144</v>
      </c>
      <c r="E60" s="11"/>
      <c r="F60" s="55"/>
      <c r="H60" s="64"/>
    </row>
    <row r="61" spans="1:10" x14ac:dyDescent="0.3">
      <c r="A61" s="10" t="s">
        <v>826</v>
      </c>
      <c r="B61" s="201" t="s">
        <v>144</v>
      </c>
      <c r="C61" s="92" t="s">
        <v>144</v>
      </c>
      <c r="D61" s="201" t="s">
        <v>144</v>
      </c>
      <c r="E61" s="11" t="s">
        <v>639</v>
      </c>
      <c r="F61" s="55"/>
      <c r="H61" s="64"/>
    </row>
    <row r="62" spans="1:10" s="7" customFormat="1" x14ac:dyDescent="0.3">
      <c r="A62" s="10" t="s">
        <v>547</v>
      </c>
      <c r="B62" s="201" t="s">
        <v>646</v>
      </c>
      <c r="C62" s="92" t="s">
        <v>843</v>
      </c>
      <c r="D62" s="201"/>
      <c r="E62" s="11"/>
      <c r="F62" s="55"/>
      <c r="G62" s="77"/>
      <c r="H62" s="64"/>
      <c r="I62" s="63"/>
      <c r="J62" s="63"/>
    </row>
    <row r="63" spans="1:10" s="7" customFormat="1" x14ac:dyDescent="0.3">
      <c r="A63" s="16" t="s">
        <v>828</v>
      </c>
      <c r="B63" s="201" t="s">
        <v>646</v>
      </c>
      <c r="C63" s="92" t="s">
        <v>843</v>
      </c>
      <c r="D63" s="201"/>
      <c r="E63" s="2" t="s">
        <v>633</v>
      </c>
      <c r="F63" s="55"/>
      <c r="G63" s="77"/>
      <c r="H63" s="64"/>
      <c r="I63" s="63"/>
      <c r="J63" s="63"/>
    </row>
    <row r="64" spans="1:10" x14ac:dyDescent="0.3">
      <c r="A64" s="10" t="s">
        <v>599</v>
      </c>
      <c r="B64" s="201" t="s">
        <v>145</v>
      </c>
      <c r="C64" s="92" t="s">
        <v>145</v>
      </c>
      <c r="D64" s="201" t="s">
        <v>145</v>
      </c>
      <c r="E64" s="11"/>
      <c r="F64" s="55"/>
      <c r="H64" s="64"/>
    </row>
    <row r="65" spans="1:10" x14ac:dyDescent="0.3">
      <c r="A65" s="16" t="s">
        <v>2026</v>
      </c>
      <c r="B65" s="201" t="s">
        <v>145</v>
      </c>
      <c r="C65" s="92" t="s">
        <v>145</v>
      </c>
      <c r="D65" s="201" t="s">
        <v>145</v>
      </c>
      <c r="E65" s="11"/>
      <c r="F65" s="55"/>
      <c r="H65" s="64"/>
    </row>
    <row r="66" spans="1:10" s="46" customFormat="1" x14ac:dyDescent="0.3">
      <c r="A66" s="34" t="s">
        <v>1438</v>
      </c>
      <c r="B66" s="201" t="s">
        <v>144</v>
      </c>
      <c r="C66" s="92" t="s">
        <v>144</v>
      </c>
      <c r="D66" s="201" t="s">
        <v>144</v>
      </c>
      <c r="E66" s="36"/>
      <c r="F66" s="55"/>
      <c r="G66" s="60"/>
      <c r="H66" s="64"/>
      <c r="I66" s="60"/>
      <c r="J66" s="60"/>
    </row>
    <row r="67" spans="1:10" x14ac:dyDescent="0.3">
      <c r="A67" s="16" t="s">
        <v>863</v>
      </c>
      <c r="B67" s="201" t="s">
        <v>144</v>
      </c>
      <c r="C67" s="92" t="s">
        <v>144</v>
      </c>
      <c r="D67" s="201" t="s">
        <v>144</v>
      </c>
      <c r="E67" s="11"/>
      <c r="F67" s="55"/>
      <c r="H67" s="64"/>
    </row>
    <row r="68" spans="1:10" ht="25" x14ac:dyDescent="0.3">
      <c r="A68" s="16" t="s">
        <v>2282</v>
      </c>
      <c r="B68" s="201" t="s">
        <v>144</v>
      </c>
      <c r="C68" s="92" t="s">
        <v>144</v>
      </c>
      <c r="D68" s="201" t="s">
        <v>144</v>
      </c>
      <c r="E68" s="16" t="s">
        <v>1439</v>
      </c>
      <c r="F68" s="55"/>
      <c r="H68" s="64"/>
    </row>
    <row r="69" spans="1:10" ht="25" x14ac:dyDescent="0.3">
      <c r="A69" s="16" t="s">
        <v>1122</v>
      </c>
      <c r="B69" s="201" t="s">
        <v>144</v>
      </c>
      <c r="C69" s="92" t="s">
        <v>144</v>
      </c>
      <c r="D69" s="201" t="s">
        <v>144</v>
      </c>
      <c r="E69" s="11" t="s">
        <v>45</v>
      </c>
      <c r="F69" s="55"/>
      <c r="H69" s="64"/>
    </row>
    <row r="70" spans="1:10" ht="25" x14ac:dyDescent="0.3">
      <c r="A70" s="16" t="s">
        <v>2559</v>
      </c>
      <c r="B70" s="201"/>
      <c r="C70" s="92"/>
      <c r="D70" s="201" t="s">
        <v>647</v>
      </c>
      <c r="E70" s="11" t="s">
        <v>46</v>
      </c>
      <c r="F70" s="55"/>
      <c r="H70" s="64"/>
    </row>
    <row r="71" spans="1:10" ht="25" x14ac:dyDescent="0.3">
      <c r="A71" s="16" t="s">
        <v>1440</v>
      </c>
      <c r="B71" s="201" t="s">
        <v>144</v>
      </c>
      <c r="C71" s="92" t="s">
        <v>144</v>
      </c>
      <c r="D71" s="201" t="s">
        <v>144</v>
      </c>
      <c r="E71" s="11" t="s">
        <v>638</v>
      </c>
      <c r="F71" s="55"/>
      <c r="H71" s="64"/>
    </row>
    <row r="72" spans="1:10" x14ac:dyDescent="0.3">
      <c r="A72" s="10" t="s">
        <v>302</v>
      </c>
      <c r="B72" s="201" t="s">
        <v>144</v>
      </c>
      <c r="C72" s="92" t="s">
        <v>144</v>
      </c>
      <c r="D72" s="201" t="s">
        <v>144</v>
      </c>
      <c r="E72" s="11"/>
      <c r="F72" s="55"/>
      <c r="H72" s="64"/>
    </row>
    <row r="73" spans="1:10" ht="37.5" x14ac:dyDescent="0.3">
      <c r="A73" s="16" t="s">
        <v>2646</v>
      </c>
      <c r="B73" s="201" t="s">
        <v>144</v>
      </c>
      <c r="C73" s="92" t="s">
        <v>144</v>
      </c>
      <c r="D73" s="201" t="s">
        <v>144</v>
      </c>
      <c r="E73" s="11" t="s">
        <v>639</v>
      </c>
      <c r="F73" s="55"/>
      <c r="H73" s="64"/>
    </row>
    <row r="74" spans="1:10" ht="25" x14ac:dyDescent="0.3">
      <c r="A74" s="10" t="s">
        <v>827</v>
      </c>
      <c r="B74" s="201" t="s">
        <v>144</v>
      </c>
      <c r="C74" s="92" t="s">
        <v>144</v>
      </c>
      <c r="D74" s="201" t="s">
        <v>144</v>
      </c>
      <c r="E74" s="11"/>
      <c r="F74" s="55"/>
      <c r="H74" s="64"/>
    </row>
    <row r="75" spans="1:10" s="7" customFormat="1" x14ac:dyDescent="0.3">
      <c r="A75" s="10" t="s">
        <v>547</v>
      </c>
      <c r="B75" s="201" t="s">
        <v>646</v>
      </c>
      <c r="C75" s="92" t="s">
        <v>646</v>
      </c>
      <c r="D75" s="201" t="s">
        <v>646</v>
      </c>
      <c r="E75" s="11"/>
      <c r="F75" s="55"/>
      <c r="G75" s="77"/>
      <c r="H75" s="64"/>
      <c r="I75" s="63"/>
      <c r="J75" s="63"/>
    </row>
    <row r="76" spans="1:10" s="7" customFormat="1" ht="29.25" customHeight="1" x14ac:dyDescent="0.3">
      <c r="A76" s="16" t="s">
        <v>1443</v>
      </c>
      <c r="B76" s="201" t="s">
        <v>646</v>
      </c>
      <c r="C76" s="92" t="s">
        <v>844</v>
      </c>
      <c r="D76" s="201"/>
      <c r="E76" s="16" t="s">
        <v>1441</v>
      </c>
      <c r="F76" s="55"/>
      <c r="G76" s="77"/>
      <c r="H76" s="64"/>
      <c r="I76" s="63"/>
      <c r="J76" s="63"/>
    </row>
    <row r="77" spans="1:10" s="7" customFormat="1" ht="25" x14ac:dyDescent="0.3">
      <c r="A77" s="16" t="s">
        <v>1442</v>
      </c>
      <c r="B77" s="201" t="s">
        <v>646</v>
      </c>
      <c r="C77" s="92" t="s">
        <v>646</v>
      </c>
      <c r="D77" s="201" t="s">
        <v>646</v>
      </c>
      <c r="E77" s="2" t="s">
        <v>639</v>
      </c>
      <c r="F77" s="55"/>
      <c r="G77" s="77"/>
      <c r="H77" s="64"/>
      <c r="I77" s="63"/>
      <c r="J77" s="63"/>
    </row>
    <row r="78" spans="1:10" x14ac:dyDescent="0.3">
      <c r="A78" s="10" t="s">
        <v>599</v>
      </c>
      <c r="B78" s="201" t="s">
        <v>145</v>
      </c>
      <c r="C78" s="92" t="s">
        <v>145</v>
      </c>
      <c r="D78" s="201" t="s">
        <v>145</v>
      </c>
      <c r="E78" s="11"/>
      <c r="F78" s="55"/>
      <c r="H78" s="64"/>
    </row>
    <row r="79" spans="1:10" ht="65.25" customHeight="1" x14ac:dyDescent="0.3">
      <c r="A79" s="16" t="s">
        <v>1809</v>
      </c>
      <c r="B79" s="201" t="s">
        <v>145</v>
      </c>
      <c r="C79" s="92" t="s">
        <v>145</v>
      </c>
      <c r="D79" s="201" t="s">
        <v>145</v>
      </c>
      <c r="E79" s="2" t="s">
        <v>1810</v>
      </c>
      <c r="F79" s="55"/>
      <c r="H79" s="64"/>
    </row>
    <row r="80" spans="1:10" s="46" customFormat="1" ht="26" x14ac:dyDescent="0.3">
      <c r="A80" s="34" t="s">
        <v>788</v>
      </c>
      <c r="B80" s="201" t="s">
        <v>144</v>
      </c>
      <c r="C80" s="92" t="s">
        <v>144</v>
      </c>
      <c r="D80" s="201" t="s">
        <v>144</v>
      </c>
      <c r="E80" s="36"/>
      <c r="F80" s="55"/>
      <c r="G80" s="60"/>
      <c r="H80" s="64"/>
      <c r="I80" s="60"/>
      <c r="J80" s="60"/>
    </row>
    <row r="81" spans="1:10" x14ac:dyDescent="0.3">
      <c r="A81" s="10" t="s">
        <v>863</v>
      </c>
      <c r="B81" s="201" t="s">
        <v>144</v>
      </c>
      <c r="C81" s="92" t="s">
        <v>144</v>
      </c>
      <c r="D81" s="201" t="s">
        <v>144</v>
      </c>
      <c r="E81" s="11"/>
      <c r="F81" s="55"/>
      <c r="H81" s="64"/>
    </row>
    <row r="82" spans="1:10" ht="25" x14ac:dyDescent="0.3">
      <c r="A82" s="16" t="s">
        <v>829</v>
      </c>
      <c r="B82" s="201" t="s">
        <v>144</v>
      </c>
      <c r="C82" s="92" t="s">
        <v>144</v>
      </c>
      <c r="D82" s="201" t="s">
        <v>144</v>
      </c>
      <c r="E82" s="11" t="s">
        <v>865</v>
      </c>
      <c r="F82" s="55"/>
      <c r="H82" s="64"/>
    </row>
    <row r="83" spans="1:10" ht="25" x14ac:dyDescent="0.3">
      <c r="A83" s="10" t="s">
        <v>935</v>
      </c>
      <c r="B83" s="201" t="s">
        <v>144</v>
      </c>
      <c r="C83" s="92" t="s">
        <v>144</v>
      </c>
      <c r="D83" s="201" t="s">
        <v>144</v>
      </c>
      <c r="E83" s="11" t="s">
        <v>936</v>
      </c>
      <c r="F83" s="55"/>
      <c r="H83" s="64"/>
    </row>
    <row r="84" spans="1:10" x14ac:dyDescent="0.3">
      <c r="A84" s="10" t="s">
        <v>302</v>
      </c>
      <c r="B84" s="201" t="s">
        <v>144</v>
      </c>
      <c r="C84" s="92" t="s">
        <v>144</v>
      </c>
      <c r="D84" s="201" t="s">
        <v>144</v>
      </c>
      <c r="E84" s="11"/>
      <c r="F84" s="55"/>
      <c r="H84" s="64"/>
    </row>
    <row r="85" spans="1:10" x14ac:dyDescent="0.3">
      <c r="A85" s="10" t="s">
        <v>47</v>
      </c>
      <c r="B85" s="201" t="s">
        <v>144</v>
      </c>
      <c r="C85" s="92" t="s">
        <v>144</v>
      </c>
      <c r="D85" s="201" t="s">
        <v>144</v>
      </c>
      <c r="E85" s="11"/>
      <c r="F85" s="55"/>
      <c r="H85" s="64"/>
    </row>
    <row r="86" spans="1:10" ht="25" x14ac:dyDescent="0.3">
      <c r="A86" s="10" t="s">
        <v>48</v>
      </c>
      <c r="B86" s="201" t="s">
        <v>144</v>
      </c>
      <c r="C86" s="92" t="s">
        <v>144</v>
      </c>
      <c r="D86" s="201" t="s">
        <v>144</v>
      </c>
      <c r="E86" s="11" t="s">
        <v>866</v>
      </c>
      <c r="F86" s="55"/>
      <c r="H86" s="64"/>
    </row>
    <row r="87" spans="1:10" x14ac:dyDescent="0.3">
      <c r="A87" s="10" t="s">
        <v>547</v>
      </c>
      <c r="B87" s="201" t="s">
        <v>646</v>
      </c>
      <c r="C87" s="92" t="s">
        <v>843</v>
      </c>
      <c r="D87" s="201" t="s">
        <v>843</v>
      </c>
      <c r="E87" s="11"/>
      <c r="F87" s="55"/>
      <c r="H87" s="64"/>
    </row>
    <row r="88" spans="1:10" x14ac:dyDescent="0.3">
      <c r="A88" s="10" t="s">
        <v>47</v>
      </c>
      <c r="B88" s="201" t="s">
        <v>646</v>
      </c>
      <c r="C88" s="92" t="s">
        <v>843</v>
      </c>
      <c r="D88" s="201" t="s">
        <v>843</v>
      </c>
      <c r="E88" s="11"/>
      <c r="F88" s="55"/>
      <c r="H88" s="64"/>
    </row>
    <row r="89" spans="1:10" x14ac:dyDescent="0.3">
      <c r="A89" s="16" t="s">
        <v>1123</v>
      </c>
      <c r="B89" s="201" t="s">
        <v>646</v>
      </c>
      <c r="C89" s="92" t="s">
        <v>843</v>
      </c>
      <c r="D89" s="201" t="s">
        <v>843</v>
      </c>
      <c r="E89" s="11"/>
      <c r="F89" s="55"/>
      <c r="H89" s="64"/>
    </row>
    <row r="90" spans="1:10" x14ac:dyDescent="0.3">
      <c r="A90" s="10" t="s">
        <v>599</v>
      </c>
      <c r="B90" s="201" t="s">
        <v>145</v>
      </c>
      <c r="C90" s="92" t="s">
        <v>145</v>
      </c>
      <c r="D90" s="201" t="s">
        <v>145</v>
      </c>
      <c r="E90" s="11"/>
      <c r="F90" s="55"/>
      <c r="H90" s="64"/>
    </row>
    <row r="91" spans="1:10" ht="62.5" x14ac:dyDescent="0.3">
      <c r="A91" s="16" t="s">
        <v>2647</v>
      </c>
      <c r="B91" s="201" t="s">
        <v>145</v>
      </c>
      <c r="C91" s="92" t="s">
        <v>145</v>
      </c>
      <c r="D91" s="201" t="s">
        <v>145</v>
      </c>
      <c r="E91" s="11"/>
      <c r="F91" s="55"/>
      <c r="H91" s="64"/>
    </row>
    <row r="92" spans="1:10" s="46" customFormat="1" x14ac:dyDescent="0.3">
      <c r="A92" s="34" t="s">
        <v>868</v>
      </c>
      <c r="B92" s="201" t="s">
        <v>144</v>
      </c>
      <c r="C92" s="92" t="s">
        <v>144</v>
      </c>
      <c r="D92" s="201" t="s">
        <v>144</v>
      </c>
      <c r="E92" s="36"/>
      <c r="F92" s="55"/>
      <c r="G92" s="60"/>
      <c r="H92" s="64"/>
      <c r="I92" s="60"/>
      <c r="J92" s="60"/>
    </row>
    <row r="93" spans="1:10" ht="25" x14ac:dyDescent="0.3">
      <c r="A93" s="150" t="s">
        <v>2180</v>
      </c>
      <c r="B93" s="201" t="s">
        <v>144</v>
      </c>
      <c r="C93" s="92" t="s">
        <v>144</v>
      </c>
      <c r="D93" s="201" t="s">
        <v>144</v>
      </c>
      <c r="E93" s="11"/>
      <c r="F93" s="55"/>
      <c r="H93" s="64"/>
    </row>
    <row r="94" spans="1:10" x14ac:dyDescent="0.3">
      <c r="A94" s="10" t="s">
        <v>863</v>
      </c>
      <c r="B94" s="201" t="s">
        <v>144</v>
      </c>
      <c r="C94" s="92" t="s">
        <v>144</v>
      </c>
      <c r="D94" s="201" t="s">
        <v>144</v>
      </c>
      <c r="F94" s="55"/>
      <c r="H94" s="64"/>
    </row>
    <row r="95" spans="1:10" x14ac:dyDescent="0.3">
      <c r="A95" s="10" t="s">
        <v>50</v>
      </c>
      <c r="B95" s="201" t="s">
        <v>144</v>
      </c>
      <c r="C95" s="92" t="s">
        <v>144</v>
      </c>
      <c r="D95" s="201" t="s">
        <v>144</v>
      </c>
      <c r="E95" s="11" t="s">
        <v>49</v>
      </c>
      <c r="F95" s="55"/>
      <c r="H95" s="64"/>
    </row>
    <row r="96" spans="1:10" x14ac:dyDescent="0.3">
      <c r="A96" s="10" t="s">
        <v>302</v>
      </c>
      <c r="B96" s="201" t="s">
        <v>144</v>
      </c>
      <c r="C96" s="92" t="s">
        <v>144</v>
      </c>
      <c r="D96" s="201" t="s">
        <v>144</v>
      </c>
      <c r="E96" s="11"/>
      <c r="F96" s="55"/>
      <c r="H96" s="64"/>
    </row>
    <row r="97" spans="1:8" x14ac:dyDescent="0.3">
      <c r="A97" s="16" t="s">
        <v>47</v>
      </c>
      <c r="B97" s="201" t="s">
        <v>144</v>
      </c>
      <c r="C97" s="92" t="s">
        <v>144</v>
      </c>
      <c r="D97" s="201" t="s">
        <v>144</v>
      </c>
      <c r="E97" s="11"/>
      <c r="F97" s="55"/>
      <c r="H97" s="64"/>
    </row>
    <row r="98" spans="1:8" ht="32.25" customHeight="1" x14ac:dyDescent="0.3">
      <c r="A98" s="10" t="s">
        <v>51</v>
      </c>
      <c r="B98" s="201" t="s">
        <v>144</v>
      </c>
      <c r="C98" s="92" t="s">
        <v>144</v>
      </c>
      <c r="D98" s="201" t="s">
        <v>144</v>
      </c>
      <c r="E98" s="16" t="s">
        <v>2207</v>
      </c>
      <c r="F98" s="55"/>
      <c r="H98" s="64"/>
    </row>
    <row r="99" spans="1:8" ht="42" customHeight="1" x14ac:dyDescent="0.3">
      <c r="A99" s="16" t="s">
        <v>1444</v>
      </c>
      <c r="B99" s="201" t="s">
        <v>144</v>
      </c>
      <c r="C99" s="92" t="s">
        <v>144</v>
      </c>
      <c r="D99" s="201" t="s">
        <v>144</v>
      </c>
      <c r="E99" s="11" t="s">
        <v>639</v>
      </c>
      <c r="F99" s="55"/>
      <c r="H99" s="64"/>
    </row>
    <row r="100" spans="1:8" ht="25" x14ac:dyDescent="0.3">
      <c r="A100" s="16" t="s">
        <v>1445</v>
      </c>
      <c r="B100" s="201" t="s">
        <v>144</v>
      </c>
      <c r="C100" s="92" t="s">
        <v>144</v>
      </c>
      <c r="D100" s="201" t="s">
        <v>144</v>
      </c>
      <c r="E100" s="2" t="s">
        <v>856</v>
      </c>
      <c r="F100" s="55"/>
      <c r="H100" s="64"/>
    </row>
    <row r="101" spans="1:8" x14ac:dyDescent="0.3">
      <c r="A101" s="10" t="s">
        <v>547</v>
      </c>
      <c r="B101" s="201" t="s">
        <v>646</v>
      </c>
      <c r="C101" s="92" t="s">
        <v>646</v>
      </c>
      <c r="D101" s="201" t="s">
        <v>646</v>
      </c>
      <c r="E101" s="11"/>
      <c r="F101" s="55"/>
      <c r="H101" s="64"/>
    </row>
    <row r="102" spans="1:8" x14ac:dyDescent="0.3">
      <c r="A102" s="10" t="s">
        <v>47</v>
      </c>
      <c r="B102" s="201" t="s">
        <v>646</v>
      </c>
      <c r="C102" s="92" t="s">
        <v>646</v>
      </c>
      <c r="D102" s="201" t="s">
        <v>646</v>
      </c>
      <c r="E102" s="11"/>
      <c r="F102" s="55"/>
      <c r="H102" s="64"/>
    </row>
    <row r="103" spans="1:8" ht="25" x14ac:dyDescent="0.3">
      <c r="A103" s="16" t="s">
        <v>1446</v>
      </c>
      <c r="B103" s="201" t="s">
        <v>646</v>
      </c>
      <c r="C103" s="92" t="s">
        <v>646</v>
      </c>
      <c r="D103" s="201" t="s">
        <v>646</v>
      </c>
      <c r="E103" s="11" t="s">
        <v>639</v>
      </c>
      <c r="F103" s="55"/>
      <c r="H103" s="64"/>
    </row>
    <row r="104" spans="1:8" x14ac:dyDescent="0.3">
      <c r="A104" s="10" t="s">
        <v>599</v>
      </c>
      <c r="B104" s="201" t="s">
        <v>145</v>
      </c>
      <c r="C104" s="92" t="s">
        <v>145</v>
      </c>
      <c r="D104" s="201" t="s">
        <v>145</v>
      </c>
      <c r="E104" s="11"/>
      <c r="F104" s="55"/>
      <c r="H104" s="64"/>
    </row>
    <row r="105" spans="1:8" ht="75" x14ac:dyDescent="0.3">
      <c r="A105" s="16" t="s">
        <v>1811</v>
      </c>
      <c r="B105" s="201" t="s">
        <v>145</v>
      </c>
      <c r="C105" s="92" t="s">
        <v>145</v>
      </c>
      <c r="D105" s="201" t="s">
        <v>145</v>
      </c>
      <c r="E105" s="126" t="s">
        <v>1808</v>
      </c>
      <c r="F105" s="55"/>
      <c r="H105" s="64"/>
    </row>
    <row r="106" spans="1:8" ht="25" x14ac:dyDescent="0.3">
      <c r="A106" s="10" t="s">
        <v>610</v>
      </c>
      <c r="B106" s="201" t="s">
        <v>145</v>
      </c>
      <c r="C106" s="92" t="s">
        <v>145</v>
      </c>
      <c r="D106" s="201" t="s">
        <v>145</v>
      </c>
      <c r="E106" s="11"/>
      <c r="F106" s="55"/>
      <c r="H106" s="64"/>
    </row>
    <row r="107" spans="1:8" x14ac:dyDescent="0.25">
      <c r="A107" s="5"/>
    </row>
  </sheetData>
  <sheetProtection algorithmName="SHA-512" hashValue="dazbag5vXl/7x1AB0sBn6TcrTo3jFaE70jAm/qBFi1InoyyXtn10+qbqSmqljm6YdwQVCYhVGMsQ1UT+HbnXfA==" saltValue="zRJN6K1zG48Jk2alVGgbGw==" spinCount="100000" sheet="1" objects="1" scenarios="1" autoFilter="0"/>
  <autoFilter ref="B5:G106" xr:uid="{00000000-0009-0000-0000-000004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1" fitToHeight="100" orientation="landscape" r:id="rId1"/>
      <headerFooter alignWithMargins="0"/>
      <autoFilter ref="B1:G1" xr:uid="{ED9D62EA-587F-4670-96B7-D59D5A6521E6}"/>
    </customSheetView>
  </customSheetViews>
  <mergeCells count="1">
    <mergeCell ref="B4:F4"/>
  </mergeCells>
  <phoneticPr fontId="2" type="noConversion"/>
  <dataValidations count="1">
    <dataValidation type="list" allowBlank="1" showInputMessage="1" showErrorMessage="1" sqref="F7:F106" xr:uid="{00000000-0002-0000-0400-000000000000}">
      <formula1>"Akkoord,Opmerking,N.v.t.,,"</formula1>
    </dataValidation>
  </dataValidations>
  <hyperlinks>
    <hyperlink ref="A5" location="'Immateriele vaste activa'!A2" display="Immateriële vaste activa" xr:uid="{00000000-0004-0000-0400-000000000000}"/>
    <hyperlink ref="A56" location="'Immateriele vaste activa'!A46" display="Oprichtingskosten en kosten uitgifte aandelen" xr:uid="{00000000-0004-0000-0400-000001000000}"/>
    <hyperlink ref="A7" location="'Immateriele vaste activa'!A3" display="ALGEMEEN" xr:uid="{00000000-0004-0000-0400-000002000000}"/>
    <hyperlink ref="A66" location="'Immateriele vaste activa'!A56" display="Onderzoek- en ontwikkelingskosten" xr:uid="{00000000-0004-0000-0400-000003000000}"/>
    <hyperlink ref="A92" location="'Immateriele vaste activa'!A83" display="Goodwill verkregen van derden" xr:uid="{00000000-0004-0000-0400-000004000000}"/>
    <hyperlink ref="A80" location="'Immateriele vaste activa'!A71" display="Concessies, vergunningen, rechten intellectuele eigendom" xr:uid="{00000000-0004-0000-0400-000005000000}"/>
    <hyperlink ref="A93" location="'Financiële vaste activa'!A42" display="Zie voor goodwill verkregen bij overnames 'Financiële vaste activa: Goodwill in deelnemingen'." xr:uid="{00000000-0004-0000-0400-000006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5125"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rgb="FF951B81"/>
    <pageSetUpPr fitToPage="1"/>
  </sheetPr>
  <dimension ref="A1:J190"/>
  <sheetViews>
    <sheetView showGridLines="0" zoomScaleNormal="100" workbookViewId="0">
      <pane ySplit="5" topLeftCell="A112" activePane="bottomLeft" state="frozen"/>
      <selection activeCell="A119" sqref="A119"/>
      <selection pane="bottomLeft" activeCell="A131" sqref="A131"/>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4.54296875" style="6" customWidth="1"/>
    <col min="6" max="6" width="10.7265625" style="58" customWidth="1"/>
    <col min="7" max="7" width="76.179687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3" spans="1:10" x14ac:dyDescent="0.25">
      <c r="B3" s="254"/>
      <c r="C3" s="254"/>
      <c r="D3" s="254"/>
      <c r="E3" s="254"/>
      <c r="F3" s="255"/>
    </row>
    <row r="4" spans="1:10" ht="20.149999999999999" customHeight="1" x14ac:dyDescent="0.25">
      <c r="B4" s="252" t="str">
        <f>CONCATENATE("Klant en boekjaar: ",Klantnummer,"; ",Naam_klant,";  ",Boekjaar)</f>
        <v xml:space="preserve">Klant en boekjaar: ; ;  </v>
      </c>
      <c r="C4" s="253"/>
      <c r="D4" s="253"/>
      <c r="E4" s="253"/>
      <c r="F4" s="253"/>
    </row>
    <row r="5" spans="1:10" ht="15.5" x14ac:dyDescent="0.25">
      <c r="A5" s="204" t="s">
        <v>52</v>
      </c>
      <c r="B5" s="206" t="s">
        <v>642</v>
      </c>
      <c r="C5" s="206" t="s">
        <v>643</v>
      </c>
      <c r="D5" s="206" t="s">
        <v>644</v>
      </c>
      <c r="E5" s="207" t="s">
        <v>645</v>
      </c>
      <c r="F5" s="197" t="s">
        <v>54</v>
      </c>
      <c r="G5" s="199" t="s">
        <v>2858</v>
      </c>
    </row>
    <row r="6" spans="1:10" s="46" customFormat="1" ht="25" x14ac:dyDescent="0.3">
      <c r="A6" s="40" t="s">
        <v>52</v>
      </c>
      <c r="B6" s="208" t="s">
        <v>144</v>
      </c>
      <c r="C6" s="32" t="s">
        <v>144</v>
      </c>
      <c r="D6" s="208" t="s">
        <v>144</v>
      </c>
      <c r="E6" s="31" t="s">
        <v>2560</v>
      </c>
      <c r="F6" s="55"/>
      <c r="G6" s="60"/>
      <c r="H6" s="64"/>
      <c r="I6" s="60"/>
      <c r="J6" s="60"/>
    </row>
    <row r="7" spans="1:10" s="46" customFormat="1" x14ac:dyDescent="0.3">
      <c r="A7" s="40" t="s">
        <v>2208</v>
      </c>
      <c r="B7" s="208" t="s">
        <v>144</v>
      </c>
      <c r="C7" s="32" t="s">
        <v>144</v>
      </c>
      <c r="D7" s="208" t="s">
        <v>144</v>
      </c>
      <c r="E7" s="41"/>
      <c r="F7" s="55"/>
      <c r="G7" s="60"/>
      <c r="H7" s="64" t="s">
        <v>2182</v>
      </c>
      <c r="I7" s="60"/>
      <c r="J7" s="60"/>
    </row>
    <row r="8" spans="1:10" ht="25" x14ac:dyDescent="0.3">
      <c r="A8" s="16" t="s">
        <v>53</v>
      </c>
      <c r="B8" s="200" t="s">
        <v>144</v>
      </c>
      <c r="C8" s="2" t="s">
        <v>144</v>
      </c>
      <c r="D8" s="200" t="s">
        <v>144</v>
      </c>
      <c r="E8" s="11"/>
      <c r="F8" s="55"/>
      <c r="H8" s="64" t="s">
        <v>2182</v>
      </c>
    </row>
    <row r="9" spans="1:10" x14ac:dyDescent="0.3">
      <c r="A9" s="10" t="s">
        <v>863</v>
      </c>
      <c r="B9" s="200" t="s">
        <v>144</v>
      </c>
      <c r="C9" s="2" t="s">
        <v>144</v>
      </c>
      <c r="D9" s="200" t="s">
        <v>144</v>
      </c>
      <c r="E9" s="11"/>
      <c r="F9" s="55"/>
      <c r="H9" s="64" t="s">
        <v>2182</v>
      </c>
    </row>
    <row r="10" spans="1:10" ht="37.5" x14ac:dyDescent="0.3">
      <c r="A10" s="10" t="s">
        <v>830</v>
      </c>
      <c r="B10" s="200" t="s">
        <v>144</v>
      </c>
      <c r="C10" s="2" t="s">
        <v>144</v>
      </c>
      <c r="D10" s="200" t="s">
        <v>144</v>
      </c>
      <c r="E10" s="11" t="s">
        <v>831</v>
      </c>
      <c r="F10" s="55"/>
      <c r="H10" s="64" t="s">
        <v>2182</v>
      </c>
    </row>
    <row r="11" spans="1:10" ht="25" x14ac:dyDescent="0.3">
      <c r="A11" s="10" t="s">
        <v>937</v>
      </c>
      <c r="B11" s="200" t="s">
        <v>144</v>
      </c>
      <c r="C11" s="2" t="s">
        <v>144</v>
      </c>
      <c r="D11" s="200" t="s">
        <v>144</v>
      </c>
      <c r="E11" s="11" t="s">
        <v>832</v>
      </c>
      <c r="F11" s="55"/>
      <c r="H11" s="64" t="s">
        <v>2182</v>
      </c>
    </row>
    <row r="12" spans="1:10" x14ac:dyDescent="0.3">
      <c r="A12" s="16" t="s">
        <v>2648</v>
      </c>
      <c r="B12" s="200" t="s">
        <v>144</v>
      </c>
      <c r="C12" s="2" t="s">
        <v>144</v>
      </c>
      <c r="D12" s="200" t="s">
        <v>144</v>
      </c>
      <c r="E12" s="16" t="s">
        <v>833</v>
      </c>
      <c r="F12" s="55"/>
      <c r="H12" s="64" t="s">
        <v>2182</v>
      </c>
    </row>
    <row r="13" spans="1:10" ht="25" x14ac:dyDescent="0.3">
      <c r="A13" s="79" t="s">
        <v>2209</v>
      </c>
      <c r="B13" s="200" t="s">
        <v>144</v>
      </c>
      <c r="C13" s="2" t="s">
        <v>144</v>
      </c>
      <c r="D13" s="200" t="s">
        <v>144</v>
      </c>
      <c r="E13" s="11"/>
      <c r="F13" s="55"/>
      <c r="H13" s="64"/>
    </row>
    <row r="14" spans="1:10" x14ac:dyDescent="0.3">
      <c r="A14" s="171" t="s">
        <v>2306</v>
      </c>
      <c r="B14" s="200" t="s">
        <v>144</v>
      </c>
      <c r="C14" s="2" t="s">
        <v>144</v>
      </c>
      <c r="D14" s="200" t="s">
        <v>144</v>
      </c>
      <c r="E14" s="11"/>
      <c r="F14" s="55"/>
      <c r="H14" s="64"/>
    </row>
    <row r="15" spans="1:10" ht="55" customHeight="1" x14ac:dyDescent="0.3">
      <c r="A15" s="79" t="s">
        <v>2652</v>
      </c>
      <c r="B15" s="200" t="s">
        <v>144</v>
      </c>
      <c r="C15" s="2" t="s">
        <v>144</v>
      </c>
      <c r="D15" s="200" t="s">
        <v>144</v>
      </c>
      <c r="E15" s="11" t="s">
        <v>585</v>
      </c>
      <c r="F15" s="55"/>
      <c r="H15" s="64"/>
    </row>
    <row r="16" spans="1:10" ht="37.5" x14ac:dyDescent="0.3">
      <c r="A16" s="79" t="s">
        <v>2649</v>
      </c>
      <c r="B16" s="200" t="s">
        <v>144</v>
      </c>
      <c r="C16" s="2" t="s">
        <v>144</v>
      </c>
      <c r="D16" s="200" t="s">
        <v>144</v>
      </c>
      <c r="E16" s="2" t="s">
        <v>2651</v>
      </c>
      <c r="F16" s="55"/>
      <c r="H16" s="64"/>
    </row>
    <row r="17" spans="1:8" ht="50" x14ac:dyDescent="0.3">
      <c r="A17" s="79" t="s">
        <v>2650</v>
      </c>
      <c r="B17" s="200" t="s">
        <v>144</v>
      </c>
      <c r="C17" s="2" t="s">
        <v>144</v>
      </c>
      <c r="D17" s="200" t="s">
        <v>144</v>
      </c>
      <c r="E17" s="2" t="s">
        <v>833</v>
      </c>
      <c r="F17" s="55"/>
      <c r="H17" s="64"/>
    </row>
    <row r="18" spans="1:8" ht="100.9" customHeight="1" x14ac:dyDescent="0.3">
      <c r="A18" s="16" t="s">
        <v>2361</v>
      </c>
      <c r="B18" s="200" t="s">
        <v>144</v>
      </c>
      <c r="C18" s="2" t="s">
        <v>144</v>
      </c>
      <c r="D18" s="200" t="s">
        <v>144</v>
      </c>
      <c r="E18" s="16" t="s">
        <v>2653</v>
      </c>
      <c r="F18" s="55"/>
      <c r="H18" s="64"/>
    </row>
    <row r="19" spans="1:8" ht="25" x14ac:dyDescent="0.3">
      <c r="A19" s="16" t="s">
        <v>2655</v>
      </c>
      <c r="B19" s="200" t="s">
        <v>144</v>
      </c>
      <c r="C19" s="2" t="s">
        <v>144</v>
      </c>
      <c r="D19" s="200" t="s">
        <v>144</v>
      </c>
      <c r="E19" s="16" t="s">
        <v>2654</v>
      </c>
      <c r="F19" s="55"/>
      <c r="H19" s="64"/>
    </row>
    <row r="20" spans="1:8" ht="38" x14ac:dyDescent="0.3">
      <c r="A20" s="16" t="s">
        <v>2658</v>
      </c>
      <c r="B20" s="200" t="s">
        <v>144</v>
      </c>
      <c r="C20" s="2" t="s">
        <v>144</v>
      </c>
      <c r="D20" s="200" t="s">
        <v>144</v>
      </c>
      <c r="E20" s="16" t="s">
        <v>585</v>
      </c>
      <c r="F20" s="55"/>
      <c r="H20" s="64"/>
    </row>
    <row r="21" spans="1:8" ht="37.5" x14ac:dyDescent="0.3">
      <c r="A21" s="16" t="s">
        <v>2656</v>
      </c>
      <c r="B21" s="200" t="s">
        <v>144</v>
      </c>
      <c r="C21" s="2" t="s">
        <v>144</v>
      </c>
      <c r="D21" s="200" t="s">
        <v>144</v>
      </c>
      <c r="E21" s="16" t="s">
        <v>832</v>
      </c>
      <c r="F21" s="55"/>
      <c r="H21" s="64"/>
    </row>
    <row r="22" spans="1:8" ht="37.5" x14ac:dyDescent="0.3">
      <c r="A22" s="16" t="s">
        <v>2657</v>
      </c>
      <c r="B22" s="200" t="s">
        <v>144</v>
      </c>
      <c r="C22" s="2" t="s">
        <v>144</v>
      </c>
      <c r="D22" s="200" t="s">
        <v>144</v>
      </c>
      <c r="E22" s="16" t="s">
        <v>2659</v>
      </c>
      <c r="F22" s="55"/>
      <c r="H22" s="64"/>
    </row>
    <row r="23" spans="1:8" ht="37.5" x14ac:dyDescent="0.3">
      <c r="A23" s="10" t="s">
        <v>789</v>
      </c>
      <c r="B23" s="200" t="s">
        <v>144</v>
      </c>
      <c r="C23" s="2" t="s">
        <v>144</v>
      </c>
      <c r="D23" s="200" t="s">
        <v>144</v>
      </c>
      <c r="E23" s="11" t="s">
        <v>586</v>
      </c>
      <c r="F23" s="55"/>
      <c r="H23" s="64" t="s">
        <v>2182</v>
      </c>
    </row>
    <row r="24" spans="1:8" x14ac:dyDescent="0.3">
      <c r="A24" s="10" t="s">
        <v>302</v>
      </c>
      <c r="B24" s="200" t="s">
        <v>144</v>
      </c>
      <c r="C24" s="2" t="s">
        <v>144</v>
      </c>
      <c r="D24" s="200" t="s">
        <v>144</v>
      </c>
      <c r="E24" s="11"/>
      <c r="F24" s="55"/>
      <c r="H24" s="64" t="s">
        <v>2182</v>
      </c>
    </row>
    <row r="25" spans="1:8" x14ac:dyDescent="0.3">
      <c r="A25" s="10" t="s">
        <v>587</v>
      </c>
      <c r="B25" s="200" t="s">
        <v>144</v>
      </c>
      <c r="C25" s="2" t="s">
        <v>144</v>
      </c>
      <c r="D25" s="200" t="s">
        <v>144</v>
      </c>
      <c r="E25" s="11" t="s">
        <v>588</v>
      </c>
      <c r="F25" s="55"/>
      <c r="H25" s="64" t="s">
        <v>2182</v>
      </c>
    </row>
    <row r="26" spans="1:8" x14ac:dyDescent="0.3">
      <c r="A26" s="10" t="s">
        <v>790</v>
      </c>
      <c r="B26" s="200" t="s">
        <v>144</v>
      </c>
      <c r="C26" s="2"/>
      <c r="D26" s="200"/>
      <c r="E26" s="11" t="s">
        <v>273</v>
      </c>
      <c r="F26" s="55"/>
      <c r="H26" s="64" t="s">
        <v>2182</v>
      </c>
    </row>
    <row r="27" spans="1:8" x14ac:dyDescent="0.3">
      <c r="A27" s="94" t="s">
        <v>1124</v>
      </c>
      <c r="B27" s="200" t="s">
        <v>144</v>
      </c>
      <c r="C27" s="2"/>
      <c r="D27" s="200"/>
      <c r="E27" s="11" t="s">
        <v>938</v>
      </c>
      <c r="F27" s="55"/>
      <c r="H27" s="64" t="s">
        <v>2182</v>
      </c>
    </row>
    <row r="28" spans="1:8" x14ac:dyDescent="0.3">
      <c r="A28" s="15" t="s">
        <v>25</v>
      </c>
      <c r="B28" s="200" t="s">
        <v>144</v>
      </c>
      <c r="C28" s="2"/>
      <c r="D28" s="200"/>
      <c r="E28" s="11" t="s">
        <v>939</v>
      </c>
      <c r="F28" s="55"/>
      <c r="H28" s="64" t="s">
        <v>2182</v>
      </c>
    </row>
    <row r="29" spans="1:8" x14ac:dyDescent="0.3">
      <c r="A29" s="120" t="s">
        <v>1812</v>
      </c>
      <c r="B29" s="200" t="s">
        <v>144</v>
      </c>
      <c r="C29" s="2" t="s">
        <v>144</v>
      </c>
      <c r="D29" s="200" t="s">
        <v>144</v>
      </c>
      <c r="E29" s="11"/>
      <c r="F29" s="55"/>
      <c r="H29" s="64" t="s">
        <v>2182</v>
      </c>
    </row>
    <row r="30" spans="1:8" ht="25" x14ac:dyDescent="0.3">
      <c r="A30" s="10" t="s">
        <v>589</v>
      </c>
      <c r="B30" s="200" t="s">
        <v>144</v>
      </c>
      <c r="C30" s="2" t="s">
        <v>144</v>
      </c>
      <c r="D30" s="200" t="s">
        <v>144</v>
      </c>
      <c r="E30" s="11" t="s">
        <v>590</v>
      </c>
      <c r="F30" s="55"/>
      <c r="H30" s="64" t="s">
        <v>2182</v>
      </c>
    </row>
    <row r="31" spans="1:8" ht="37.5" x14ac:dyDescent="0.3">
      <c r="A31" s="150" t="s">
        <v>2189</v>
      </c>
      <c r="B31" s="200" t="s">
        <v>144</v>
      </c>
      <c r="C31" s="2" t="s">
        <v>144</v>
      </c>
      <c r="D31" s="200" t="s">
        <v>144</v>
      </c>
      <c r="E31" s="11" t="s">
        <v>1712</v>
      </c>
      <c r="F31" s="55"/>
      <c r="H31" s="64"/>
    </row>
    <row r="32" spans="1:8" ht="37.5" x14ac:dyDescent="0.3">
      <c r="A32" s="16" t="s">
        <v>2397</v>
      </c>
      <c r="B32" s="200" t="s">
        <v>144</v>
      </c>
      <c r="C32" s="2" t="s">
        <v>144</v>
      </c>
      <c r="D32" s="200" t="s">
        <v>144</v>
      </c>
      <c r="E32" s="2" t="s">
        <v>585</v>
      </c>
      <c r="F32" s="55"/>
      <c r="H32" s="64" t="s">
        <v>2182</v>
      </c>
    </row>
    <row r="33" spans="1:10" ht="39.75" customHeight="1" x14ac:dyDescent="0.3">
      <c r="A33" s="16" t="s">
        <v>1722</v>
      </c>
      <c r="B33" s="200" t="s">
        <v>144</v>
      </c>
      <c r="C33" s="2" t="s">
        <v>144</v>
      </c>
      <c r="D33" s="200" t="s">
        <v>144</v>
      </c>
      <c r="E33" s="11" t="s">
        <v>591</v>
      </c>
      <c r="F33" s="55"/>
      <c r="H33" s="64" t="s">
        <v>2182</v>
      </c>
    </row>
    <row r="34" spans="1:10" ht="25" x14ac:dyDescent="0.3">
      <c r="A34" s="10" t="s">
        <v>592</v>
      </c>
      <c r="B34" s="200" t="s">
        <v>144</v>
      </c>
      <c r="C34" s="2" t="s">
        <v>144</v>
      </c>
      <c r="D34" s="200" t="s">
        <v>144</v>
      </c>
      <c r="E34" s="11" t="s">
        <v>940</v>
      </c>
      <c r="F34" s="55"/>
      <c r="H34" s="64" t="s">
        <v>2182</v>
      </c>
    </row>
    <row r="35" spans="1:10" ht="25" x14ac:dyDescent="0.3">
      <c r="A35" s="10" t="s">
        <v>941</v>
      </c>
      <c r="B35" s="200" t="s">
        <v>144</v>
      </c>
      <c r="C35" s="2" t="s">
        <v>144</v>
      </c>
      <c r="D35" s="200" t="s">
        <v>144</v>
      </c>
      <c r="E35" s="11" t="s">
        <v>869</v>
      </c>
      <c r="F35" s="55"/>
      <c r="H35" s="64" t="s">
        <v>2182</v>
      </c>
    </row>
    <row r="36" spans="1:10" ht="25" x14ac:dyDescent="0.3">
      <c r="A36" s="10" t="s">
        <v>791</v>
      </c>
      <c r="B36" s="200" t="s">
        <v>144</v>
      </c>
      <c r="C36" s="2" t="s">
        <v>144</v>
      </c>
      <c r="D36" s="200" t="s">
        <v>144</v>
      </c>
      <c r="E36" s="2" t="s">
        <v>870</v>
      </c>
      <c r="F36" s="55"/>
      <c r="H36" s="64" t="s">
        <v>2182</v>
      </c>
    </row>
    <row r="37" spans="1:10" ht="25" x14ac:dyDescent="0.3">
      <c r="A37" s="10" t="s">
        <v>65</v>
      </c>
      <c r="B37" s="200" t="s">
        <v>144</v>
      </c>
      <c r="C37" s="2" t="s">
        <v>144</v>
      </c>
      <c r="D37" s="200" t="s">
        <v>144</v>
      </c>
      <c r="F37" s="55"/>
      <c r="H37" s="64" t="s">
        <v>2182</v>
      </c>
    </row>
    <row r="38" spans="1:10" ht="25" x14ac:dyDescent="0.3">
      <c r="A38" s="10" t="s">
        <v>367</v>
      </c>
      <c r="B38" s="200" t="s">
        <v>144</v>
      </c>
      <c r="C38" s="2" t="s">
        <v>144</v>
      </c>
      <c r="D38" s="200" t="s">
        <v>144</v>
      </c>
      <c r="E38" s="2" t="s">
        <v>1813</v>
      </c>
      <c r="F38" s="55"/>
      <c r="H38" s="64" t="s">
        <v>2182</v>
      </c>
    </row>
    <row r="39" spans="1:10" ht="25" x14ac:dyDescent="0.3">
      <c r="A39" s="10" t="s">
        <v>792</v>
      </c>
      <c r="B39" s="200" t="s">
        <v>144</v>
      </c>
      <c r="C39" s="2" t="s">
        <v>144</v>
      </c>
      <c r="D39" s="200" t="s">
        <v>144</v>
      </c>
      <c r="E39" s="10" t="s">
        <v>368</v>
      </c>
      <c r="F39" s="55"/>
      <c r="H39" s="64" t="s">
        <v>2182</v>
      </c>
    </row>
    <row r="40" spans="1:10" ht="62.5" x14ac:dyDescent="0.3">
      <c r="A40" s="10" t="s">
        <v>793</v>
      </c>
      <c r="B40" s="200" t="s">
        <v>144</v>
      </c>
      <c r="C40" s="2" t="s">
        <v>144</v>
      </c>
      <c r="D40" s="200" t="s">
        <v>144</v>
      </c>
      <c r="E40" s="10" t="s">
        <v>609</v>
      </c>
      <c r="F40" s="55"/>
      <c r="H40" s="64" t="s">
        <v>2182</v>
      </c>
    </row>
    <row r="41" spans="1:10" ht="25" x14ac:dyDescent="0.3">
      <c r="A41" s="10" t="s">
        <v>369</v>
      </c>
      <c r="B41" s="200" t="s">
        <v>144</v>
      </c>
      <c r="C41" s="2" t="s">
        <v>144</v>
      </c>
      <c r="D41" s="200" t="s">
        <v>144</v>
      </c>
      <c r="E41" s="11" t="s">
        <v>452</v>
      </c>
      <c r="F41" s="55"/>
      <c r="H41" s="64" t="s">
        <v>2182</v>
      </c>
    </row>
    <row r="42" spans="1:10" ht="37.5" x14ac:dyDescent="0.3">
      <c r="A42" s="146" t="s">
        <v>370</v>
      </c>
      <c r="B42" s="200" t="s">
        <v>144</v>
      </c>
      <c r="C42" s="2" t="s">
        <v>144</v>
      </c>
      <c r="D42" s="200" t="s">
        <v>144</v>
      </c>
      <c r="E42" s="11"/>
      <c r="F42" s="55"/>
      <c r="H42" s="64" t="s">
        <v>2182</v>
      </c>
    </row>
    <row r="43" spans="1:10" s="46" customFormat="1" x14ac:dyDescent="0.3">
      <c r="A43" s="137" t="s">
        <v>453</v>
      </c>
      <c r="B43" s="200" t="s">
        <v>144</v>
      </c>
      <c r="C43" s="2" t="s">
        <v>144</v>
      </c>
      <c r="D43" s="200" t="s">
        <v>144</v>
      </c>
      <c r="E43" s="36"/>
      <c r="F43" s="55"/>
      <c r="G43" s="60"/>
      <c r="H43" s="64" t="s">
        <v>2182</v>
      </c>
      <c r="I43" s="60"/>
      <c r="J43" s="60"/>
    </row>
    <row r="44" spans="1:10" x14ac:dyDescent="0.3">
      <c r="A44" s="16" t="s">
        <v>1814</v>
      </c>
      <c r="B44" s="200" t="s">
        <v>144</v>
      </c>
      <c r="C44" s="2" t="s">
        <v>144</v>
      </c>
      <c r="D44" s="200" t="s">
        <v>144</v>
      </c>
      <c r="E44" s="2" t="s">
        <v>588</v>
      </c>
      <c r="F44" s="55"/>
      <c r="H44" s="64" t="s">
        <v>2182</v>
      </c>
    </row>
    <row r="45" spans="1:10" x14ac:dyDescent="0.3">
      <c r="A45" s="10" t="s">
        <v>254</v>
      </c>
      <c r="B45" s="200" t="s">
        <v>144</v>
      </c>
      <c r="C45" s="2" t="s">
        <v>144</v>
      </c>
      <c r="D45" s="200" t="s">
        <v>144</v>
      </c>
      <c r="E45" s="2" t="s">
        <v>2632</v>
      </c>
      <c r="F45" s="55"/>
      <c r="H45" s="64" t="s">
        <v>2182</v>
      </c>
    </row>
    <row r="46" spans="1:10" ht="37.5" x14ac:dyDescent="0.3">
      <c r="A46" s="79" t="s">
        <v>1815</v>
      </c>
      <c r="B46" s="200" t="s">
        <v>144</v>
      </c>
      <c r="C46" s="2" t="s">
        <v>144</v>
      </c>
      <c r="D46" s="200" t="s">
        <v>144</v>
      </c>
      <c r="E46" s="11"/>
      <c r="F46" s="55"/>
      <c r="H46" s="64" t="s">
        <v>2182</v>
      </c>
    </row>
    <row r="47" spans="1:10" x14ac:dyDescent="0.3">
      <c r="A47" s="79" t="s">
        <v>1816</v>
      </c>
      <c r="B47" s="200" t="s">
        <v>144</v>
      </c>
      <c r="C47" s="2" t="s">
        <v>144</v>
      </c>
      <c r="D47" s="200" t="s">
        <v>144</v>
      </c>
      <c r="E47" s="11"/>
      <c r="F47" s="55"/>
      <c r="H47" s="64" t="s">
        <v>2182</v>
      </c>
    </row>
    <row r="48" spans="1:10" ht="25" x14ac:dyDescent="0.3">
      <c r="A48" s="79" t="s">
        <v>1817</v>
      </c>
      <c r="B48" s="200" t="s">
        <v>144</v>
      </c>
      <c r="C48" s="2" t="s">
        <v>144</v>
      </c>
      <c r="D48" s="200" t="s">
        <v>144</v>
      </c>
      <c r="E48" s="11"/>
      <c r="F48" s="55"/>
      <c r="H48" s="64" t="s">
        <v>2182</v>
      </c>
    </row>
    <row r="49" spans="1:10" ht="25.5" x14ac:dyDescent="0.3">
      <c r="A49" s="79" t="s">
        <v>2398</v>
      </c>
      <c r="B49" s="200" t="s">
        <v>144</v>
      </c>
      <c r="C49" s="2" t="s">
        <v>144</v>
      </c>
      <c r="D49" s="200" t="s">
        <v>144</v>
      </c>
      <c r="E49" s="127" t="s">
        <v>1818</v>
      </c>
      <c r="F49" s="55"/>
      <c r="H49" s="64" t="s">
        <v>2182</v>
      </c>
    </row>
    <row r="50" spans="1:10" ht="37.5" x14ac:dyDescent="0.3">
      <c r="A50" s="79" t="s">
        <v>2027</v>
      </c>
      <c r="B50" s="200" t="s">
        <v>144</v>
      </c>
      <c r="C50" s="2" t="s">
        <v>144</v>
      </c>
      <c r="D50" s="200" t="s">
        <v>144</v>
      </c>
      <c r="E50" s="127"/>
      <c r="F50" s="55"/>
      <c r="H50" s="64"/>
    </row>
    <row r="51" spans="1:10" ht="25" x14ac:dyDescent="0.3">
      <c r="A51" s="79" t="s">
        <v>2399</v>
      </c>
      <c r="B51" s="200" t="s">
        <v>144</v>
      </c>
      <c r="C51" s="2" t="s">
        <v>144</v>
      </c>
      <c r="D51" s="200" t="s">
        <v>144</v>
      </c>
      <c r="E51" s="11" t="s">
        <v>2028</v>
      </c>
      <c r="F51" s="55"/>
      <c r="H51" s="64"/>
    </row>
    <row r="52" spans="1:10" ht="37.5" x14ac:dyDescent="0.3">
      <c r="A52" s="10" t="s">
        <v>371</v>
      </c>
      <c r="B52" s="200" t="s">
        <v>144</v>
      </c>
      <c r="C52" s="2" t="s">
        <v>144</v>
      </c>
      <c r="D52" s="200" t="s">
        <v>144</v>
      </c>
      <c r="E52" s="11" t="s">
        <v>255</v>
      </c>
      <c r="F52" s="55"/>
      <c r="H52" s="64" t="s">
        <v>2182</v>
      </c>
    </row>
    <row r="53" spans="1:10" ht="37.5" x14ac:dyDescent="0.3">
      <c r="A53" s="10" t="s">
        <v>372</v>
      </c>
      <c r="B53" s="200" t="s">
        <v>144</v>
      </c>
      <c r="C53" s="2" t="s">
        <v>144</v>
      </c>
      <c r="D53" s="200" t="s">
        <v>144</v>
      </c>
      <c r="E53" s="11" t="s">
        <v>326</v>
      </c>
      <c r="F53" s="55"/>
      <c r="H53" s="64" t="s">
        <v>2182</v>
      </c>
    </row>
    <row r="54" spans="1:10" x14ac:dyDescent="0.3">
      <c r="A54" s="10" t="s">
        <v>327</v>
      </c>
      <c r="B54" s="200" t="s">
        <v>144</v>
      </c>
      <c r="C54" s="2" t="s">
        <v>144</v>
      </c>
      <c r="D54" s="200" t="s">
        <v>144</v>
      </c>
      <c r="E54" s="11"/>
      <c r="F54" s="55"/>
      <c r="H54" s="64" t="s">
        <v>2182</v>
      </c>
    </row>
    <row r="55" spans="1:10" ht="37.5" x14ac:dyDescent="0.3">
      <c r="A55" s="16" t="s">
        <v>2210</v>
      </c>
      <c r="B55" s="200" t="s">
        <v>144</v>
      </c>
      <c r="C55" s="2" t="s">
        <v>144</v>
      </c>
      <c r="D55" s="200" t="s">
        <v>144</v>
      </c>
      <c r="E55" s="11"/>
      <c r="F55" s="55"/>
      <c r="H55" s="64" t="s">
        <v>2182</v>
      </c>
    </row>
    <row r="56" spans="1:10" s="46" customFormat="1" x14ac:dyDescent="0.3">
      <c r="A56" s="137" t="s">
        <v>95</v>
      </c>
      <c r="B56" s="200" t="s">
        <v>144</v>
      </c>
      <c r="C56" s="2" t="s">
        <v>144</v>
      </c>
      <c r="D56" s="200" t="s">
        <v>144</v>
      </c>
      <c r="E56" s="36"/>
      <c r="F56" s="55"/>
      <c r="G56" s="60"/>
      <c r="H56" s="64" t="s">
        <v>2182</v>
      </c>
      <c r="I56" s="60"/>
      <c r="J56" s="60"/>
    </row>
    <row r="57" spans="1:10" ht="25" x14ac:dyDescent="0.3">
      <c r="A57" s="10" t="s">
        <v>373</v>
      </c>
      <c r="B57" s="200" t="s">
        <v>144</v>
      </c>
      <c r="C57" s="2" t="s">
        <v>144</v>
      </c>
      <c r="D57" s="200" t="s">
        <v>144</v>
      </c>
      <c r="E57" s="11" t="s">
        <v>96</v>
      </c>
      <c r="F57" s="55"/>
      <c r="H57" s="64" t="s">
        <v>2182</v>
      </c>
    </row>
    <row r="58" spans="1:10" x14ac:dyDescent="0.3">
      <c r="A58" s="10" t="s">
        <v>942</v>
      </c>
      <c r="B58" s="200" t="s">
        <v>144</v>
      </c>
      <c r="C58" s="2" t="s">
        <v>144</v>
      </c>
      <c r="D58" s="200" t="s">
        <v>144</v>
      </c>
      <c r="E58" s="11"/>
      <c r="F58" s="55"/>
      <c r="H58" s="64" t="s">
        <v>2182</v>
      </c>
    </row>
    <row r="59" spans="1:10" x14ac:dyDescent="0.3">
      <c r="A59" s="79" t="s">
        <v>1125</v>
      </c>
      <c r="B59" s="200" t="s">
        <v>144</v>
      </c>
      <c r="C59" s="2" t="s">
        <v>144</v>
      </c>
      <c r="D59" s="200" t="s">
        <v>144</v>
      </c>
      <c r="E59" s="11"/>
      <c r="F59" s="55"/>
      <c r="H59" s="64" t="s">
        <v>2182</v>
      </c>
    </row>
    <row r="60" spans="1:10" x14ac:dyDescent="0.3">
      <c r="A60" s="79" t="s">
        <v>97</v>
      </c>
      <c r="B60" s="200" t="s">
        <v>144</v>
      </c>
      <c r="C60" s="2" t="s">
        <v>144</v>
      </c>
      <c r="D60" s="200" t="s">
        <v>144</v>
      </c>
      <c r="E60" s="11"/>
      <c r="F60" s="55"/>
      <c r="H60" s="64" t="s">
        <v>2182</v>
      </c>
    </row>
    <row r="61" spans="1:10" ht="25" x14ac:dyDescent="0.3">
      <c r="A61" s="10" t="s">
        <v>98</v>
      </c>
      <c r="B61" s="200" t="s">
        <v>144</v>
      </c>
      <c r="C61" s="2" t="s">
        <v>144</v>
      </c>
      <c r="D61" s="200" t="s">
        <v>144</v>
      </c>
      <c r="E61" s="11" t="s">
        <v>99</v>
      </c>
      <c r="F61" s="55"/>
      <c r="H61" s="64" t="s">
        <v>2182</v>
      </c>
    </row>
    <row r="62" spans="1:10" x14ac:dyDescent="0.3">
      <c r="A62" s="10" t="s">
        <v>100</v>
      </c>
      <c r="B62" s="200" t="s">
        <v>144</v>
      </c>
      <c r="C62" s="2" t="s">
        <v>144</v>
      </c>
      <c r="D62" s="200" t="s">
        <v>144</v>
      </c>
      <c r="E62" s="11"/>
      <c r="F62" s="55"/>
      <c r="H62" s="64" t="s">
        <v>2182</v>
      </c>
    </row>
    <row r="63" spans="1:10" x14ac:dyDescent="0.3">
      <c r="A63" s="79" t="s">
        <v>1126</v>
      </c>
      <c r="B63" s="200" t="s">
        <v>144</v>
      </c>
      <c r="C63" s="2" t="s">
        <v>144</v>
      </c>
      <c r="D63" s="200" t="s">
        <v>144</v>
      </c>
      <c r="E63" s="11" t="s">
        <v>362</v>
      </c>
      <c r="F63" s="55"/>
      <c r="H63" s="64" t="s">
        <v>2182</v>
      </c>
    </row>
    <row r="64" spans="1:10" x14ac:dyDescent="0.3">
      <c r="A64" s="79" t="s">
        <v>1127</v>
      </c>
      <c r="B64" s="200" t="s">
        <v>144</v>
      </c>
      <c r="C64" s="2" t="s">
        <v>144</v>
      </c>
      <c r="D64" s="200" t="s">
        <v>144</v>
      </c>
      <c r="E64" s="11"/>
      <c r="F64" s="55"/>
      <c r="H64" s="64" t="s">
        <v>2182</v>
      </c>
    </row>
    <row r="65" spans="1:8" ht="25" x14ac:dyDescent="0.3">
      <c r="A65" s="79" t="s">
        <v>374</v>
      </c>
      <c r="B65" s="200" t="s">
        <v>144</v>
      </c>
      <c r="C65" s="2" t="s">
        <v>144</v>
      </c>
      <c r="D65" s="200" t="s">
        <v>144</v>
      </c>
      <c r="E65" s="11" t="s">
        <v>363</v>
      </c>
      <c r="F65" s="55"/>
      <c r="H65" s="64" t="s">
        <v>2182</v>
      </c>
    </row>
    <row r="66" spans="1:8" x14ac:dyDescent="0.3">
      <c r="A66" s="16" t="s">
        <v>547</v>
      </c>
      <c r="B66" s="200" t="s">
        <v>646</v>
      </c>
      <c r="C66" s="2" t="s">
        <v>646</v>
      </c>
      <c r="D66" s="200" t="s">
        <v>646</v>
      </c>
      <c r="E66" s="11"/>
      <c r="F66" s="55"/>
      <c r="H66" s="64" t="s">
        <v>2182</v>
      </c>
    </row>
    <row r="67" spans="1:8" x14ac:dyDescent="0.3">
      <c r="A67" s="10" t="s">
        <v>364</v>
      </c>
      <c r="B67" s="200" t="s">
        <v>646</v>
      </c>
      <c r="C67" s="2" t="s">
        <v>646</v>
      </c>
      <c r="D67" s="200" t="s">
        <v>646</v>
      </c>
      <c r="E67" s="11"/>
      <c r="F67" s="55"/>
      <c r="H67" s="64" t="s">
        <v>2182</v>
      </c>
    </row>
    <row r="68" spans="1:8" x14ac:dyDescent="0.3">
      <c r="A68" s="10" t="s">
        <v>365</v>
      </c>
      <c r="B68" s="200" t="s">
        <v>646</v>
      </c>
      <c r="C68" s="2" t="s">
        <v>646</v>
      </c>
      <c r="D68" s="200"/>
      <c r="E68" s="11" t="s">
        <v>366</v>
      </c>
      <c r="F68" s="55"/>
      <c r="H68" s="64" t="s">
        <v>2182</v>
      </c>
    </row>
    <row r="69" spans="1:8" x14ac:dyDescent="0.3">
      <c r="A69" s="16" t="s">
        <v>1723</v>
      </c>
      <c r="B69" s="200" t="s">
        <v>646</v>
      </c>
      <c r="C69" s="2" t="s">
        <v>646</v>
      </c>
      <c r="D69" s="200"/>
      <c r="E69" s="11"/>
      <c r="F69" s="55"/>
      <c r="H69" s="64" t="s">
        <v>2182</v>
      </c>
    </row>
    <row r="70" spans="1:8" x14ac:dyDescent="0.3">
      <c r="A70" s="16" t="s">
        <v>1128</v>
      </c>
      <c r="B70" s="200" t="s">
        <v>646</v>
      </c>
      <c r="C70" s="2" t="s">
        <v>646</v>
      </c>
      <c r="D70" s="200"/>
      <c r="E70" s="11"/>
      <c r="F70" s="55"/>
      <c r="H70" s="64" t="s">
        <v>2182</v>
      </c>
    </row>
    <row r="71" spans="1:8" x14ac:dyDescent="0.3">
      <c r="A71" s="16" t="s">
        <v>1129</v>
      </c>
      <c r="B71" s="200" t="s">
        <v>646</v>
      </c>
      <c r="C71" s="2" t="s">
        <v>646</v>
      </c>
      <c r="D71" s="200"/>
      <c r="E71" s="11"/>
      <c r="F71" s="55"/>
      <c r="H71" s="64" t="s">
        <v>2182</v>
      </c>
    </row>
    <row r="72" spans="1:8" x14ac:dyDescent="0.3">
      <c r="A72" s="16" t="s">
        <v>1130</v>
      </c>
      <c r="B72" s="200" t="s">
        <v>646</v>
      </c>
      <c r="C72" s="2" t="s">
        <v>646</v>
      </c>
      <c r="D72" s="200"/>
      <c r="E72" s="11"/>
      <c r="F72" s="55"/>
      <c r="H72" s="64" t="s">
        <v>2182</v>
      </c>
    </row>
    <row r="73" spans="1:8" x14ac:dyDescent="0.3">
      <c r="A73" s="16" t="s">
        <v>1131</v>
      </c>
      <c r="B73" s="200" t="s">
        <v>646</v>
      </c>
      <c r="C73" s="2" t="s">
        <v>646</v>
      </c>
      <c r="D73" s="200"/>
      <c r="E73" s="11"/>
      <c r="F73" s="55"/>
      <c r="H73" s="64" t="s">
        <v>2182</v>
      </c>
    </row>
    <row r="74" spans="1:8" ht="25" x14ac:dyDescent="0.3">
      <c r="A74" s="10" t="s">
        <v>632</v>
      </c>
      <c r="B74" s="200" t="s">
        <v>646</v>
      </c>
      <c r="C74" s="2" t="s">
        <v>843</v>
      </c>
      <c r="D74" s="200"/>
      <c r="E74" s="11" t="s">
        <v>633</v>
      </c>
      <c r="F74" s="55"/>
      <c r="H74" s="64" t="s">
        <v>2182</v>
      </c>
    </row>
    <row r="75" spans="1:8" x14ac:dyDescent="0.3">
      <c r="A75" s="79" t="s">
        <v>1116</v>
      </c>
      <c r="B75" s="200" t="s">
        <v>646</v>
      </c>
      <c r="C75" s="2" t="s">
        <v>843</v>
      </c>
      <c r="D75" s="200"/>
      <c r="E75" s="11"/>
      <c r="F75" s="55"/>
      <c r="H75" s="64" t="s">
        <v>2182</v>
      </c>
    </row>
    <row r="76" spans="1:8" x14ac:dyDescent="0.3">
      <c r="A76" s="79" t="s">
        <v>1117</v>
      </c>
      <c r="B76" s="200" t="s">
        <v>646</v>
      </c>
      <c r="C76" s="2" t="s">
        <v>843</v>
      </c>
      <c r="D76" s="200"/>
      <c r="E76" s="11"/>
      <c r="F76" s="55"/>
      <c r="H76" s="64" t="s">
        <v>2182</v>
      </c>
    </row>
    <row r="77" spans="1:8" x14ac:dyDescent="0.3">
      <c r="A77" s="79" t="s">
        <v>1118</v>
      </c>
      <c r="B77" s="200" t="s">
        <v>646</v>
      </c>
      <c r="C77" s="2" t="s">
        <v>843</v>
      </c>
      <c r="D77" s="200"/>
      <c r="E77" s="11"/>
      <c r="F77" s="55"/>
      <c r="H77" s="64" t="s">
        <v>2182</v>
      </c>
    </row>
    <row r="78" spans="1:8" x14ac:dyDescent="0.3">
      <c r="A78" s="79" t="s">
        <v>1119</v>
      </c>
      <c r="B78" s="200" t="s">
        <v>646</v>
      </c>
      <c r="C78" s="2" t="s">
        <v>843</v>
      </c>
      <c r="D78" s="200"/>
      <c r="E78" s="11"/>
      <c r="F78" s="55"/>
      <c r="H78" s="64" t="s">
        <v>2182</v>
      </c>
    </row>
    <row r="79" spans="1:8" x14ac:dyDescent="0.3">
      <c r="A79" s="79" t="s">
        <v>1132</v>
      </c>
      <c r="B79" s="200" t="s">
        <v>646</v>
      </c>
      <c r="C79" s="2" t="s">
        <v>843</v>
      </c>
      <c r="D79" s="200"/>
      <c r="E79" s="11"/>
      <c r="F79" s="55"/>
      <c r="H79" s="64" t="s">
        <v>2182</v>
      </c>
    </row>
    <row r="80" spans="1:8" x14ac:dyDescent="0.3">
      <c r="A80" s="79" t="s">
        <v>1121</v>
      </c>
      <c r="B80" s="200" t="s">
        <v>646</v>
      </c>
      <c r="C80" s="2" t="s">
        <v>843</v>
      </c>
      <c r="D80" s="200"/>
      <c r="E80" s="11"/>
      <c r="F80" s="55"/>
      <c r="H80" s="64" t="s">
        <v>2182</v>
      </c>
    </row>
    <row r="81" spans="1:8" x14ac:dyDescent="0.3">
      <c r="A81" s="79" t="s">
        <v>660</v>
      </c>
      <c r="B81" s="200" t="s">
        <v>646</v>
      </c>
      <c r="C81" s="2" t="s">
        <v>843</v>
      </c>
      <c r="D81" s="200"/>
      <c r="E81" s="11"/>
      <c r="F81" s="55"/>
      <c r="H81" s="64" t="s">
        <v>2182</v>
      </c>
    </row>
    <row r="82" spans="1:8" x14ac:dyDescent="0.3">
      <c r="A82" s="10" t="s">
        <v>885</v>
      </c>
      <c r="B82" s="200" t="s">
        <v>646</v>
      </c>
      <c r="C82" s="2" t="s">
        <v>843</v>
      </c>
      <c r="D82" s="200" t="s">
        <v>843</v>
      </c>
      <c r="E82" s="11" t="s">
        <v>708</v>
      </c>
      <c r="F82" s="55"/>
      <c r="H82" s="64" t="s">
        <v>2182</v>
      </c>
    </row>
    <row r="83" spans="1:8" x14ac:dyDescent="0.3">
      <c r="A83" s="79" t="s">
        <v>1133</v>
      </c>
      <c r="B83" s="200" t="s">
        <v>646</v>
      </c>
      <c r="C83" s="2" t="s">
        <v>843</v>
      </c>
      <c r="D83" s="200"/>
      <c r="E83" s="11"/>
      <c r="F83" s="55"/>
      <c r="H83" s="64" t="s">
        <v>2182</v>
      </c>
    </row>
    <row r="84" spans="1:8" x14ac:dyDescent="0.3">
      <c r="A84" s="79" t="s">
        <v>635</v>
      </c>
      <c r="B84" s="200" t="s">
        <v>646</v>
      </c>
      <c r="C84" s="2" t="s">
        <v>646</v>
      </c>
      <c r="D84" s="200" t="s">
        <v>646</v>
      </c>
      <c r="E84" s="11"/>
      <c r="F84" s="55"/>
      <c r="H84" s="64" t="s">
        <v>2182</v>
      </c>
    </row>
    <row r="85" spans="1:8" x14ac:dyDescent="0.3">
      <c r="A85" s="16" t="s">
        <v>2029</v>
      </c>
      <c r="B85" s="200" t="s">
        <v>646</v>
      </c>
      <c r="C85" s="2" t="s">
        <v>646</v>
      </c>
      <c r="D85" s="200" t="s">
        <v>646</v>
      </c>
      <c r="E85" s="11"/>
      <c r="F85" s="55"/>
      <c r="H85" s="64" t="s">
        <v>2182</v>
      </c>
    </row>
    <row r="86" spans="1:8" x14ac:dyDescent="0.3">
      <c r="A86" s="79" t="s">
        <v>2174</v>
      </c>
      <c r="B86" s="200" t="s">
        <v>646</v>
      </c>
      <c r="C86" s="2" t="s">
        <v>646</v>
      </c>
      <c r="D86" s="200"/>
      <c r="E86" s="11" t="s">
        <v>943</v>
      </c>
      <c r="F86" s="55"/>
      <c r="H86" s="64" t="s">
        <v>2182</v>
      </c>
    </row>
    <row r="87" spans="1:8" ht="25" x14ac:dyDescent="0.3">
      <c r="A87" s="79" t="s">
        <v>2030</v>
      </c>
      <c r="B87" s="200" t="s">
        <v>646</v>
      </c>
      <c r="C87" s="2" t="s">
        <v>646</v>
      </c>
      <c r="D87" s="200" t="s">
        <v>646</v>
      </c>
      <c r="E87" s="16" t="s">
        <v>1437</v>
      </c>
      <c r="F87" s="55"/>
      <c r="H87" s="64" t="s">
        <v>2182</v>
      </c>
    </row>
    <row r="88" spans="1:8" x14ac:dyDescent="0.3">
      <c r="A88" s="79" t="s">
        <v>2031</v>
      </c>
      <c r="B88" s="200" t="s">
        <v>800</v>
      </c>
      <c r="C88" s="2" t="s">
        <v>800</v>
      </c>
      <c r="D88" s="200"/>
      <c r="E88" s="16" t="s">
        <v>2032</v>
      </c>
      <c r="F88" s="55"/>
      <c r="H88" s="64" t="s">
        <v>2182</v>
      </c>
    </row>
    <row r="89" spans="1:8" x14ac:dyDescent="0.3">
      <c r="A89" s="79" t="s">
        <v>2033</v>
      </c>
      <c r="B89" s="200" t="s">
        <v>646</v>
      </c>
      <c r="C89" s="2" t="s">
        <v>646</v>
      </c>
      <c r="D89" s="200" t="s">
        <v>646</v>
      </c>
      <c r="E89" s="11" t="s">
        <v>96</v>
      </c>
      <c r="F89" s="55"/>
      <c r="H89" s="64" t="s">
        <v>2182</v>
      </c>
    </row>
    <row r="90" spans="1:8" ht="25" x14ac:dyDescent="0.3">
      <c r="A90" s="79" t="s">
        <v>1447</v>
      </c>
      <c r="B90" s="200" t="s">
        <v>646</v>
      </c>
      <c r="C90" s="2" t="s">
        <v>646</v>
      </c>
      <c r="D90" s="200" t="s">
        <v>646</v>
      </c>
      <c r="E90" s="11" t="s">
        <v>886</v>
      </c>
      <c r="F90" s="55"/>
      <c r="H90" s="64" t="s">
        <v>2182</v>
      </c>
    </row>
    <row r="91" spans="1:8" ht="25" x14ac:dyDescent="0.3">
      <c r="A91" s="15" t="s">
        <v>375</v>
      </c>
      <c r="B91" s="200" t="s">
        <v>646</v>
      </c>
      <c r="C91" s="2" t="s">
        <v>646</v>
      </c>
      <c r="D91" s="200"/>
      <c r="E91" s="11"/>
      <c r="F91" s="55"/>
      <c r="H91" s="64" t="s">
        <v>2182</v>
      </c>
    </row>
    <row r="92" spans="1:8" ht="51" customHeight="1" x14ac:dyDescent="0.3">
      <c r="A92" s="79" t="s">
        <v>2362</v>
      </c>
      <c r="B92" s="200" t="s">
        <v>800</v>
      </c>
      <c r="C92" s="2" t="s">
        <v>800</v>
      </c>
      <c r="D92" s="200" t="s">
        <v>800</v>
      </c>
      <c r="E92" s="16" t="s">
        <v>2561</v>
      </c>
      <c r="F92" s="55"/>
      <c r="H92" s="64" t="s">
        <v>2182</v>
      </c>
    </row>
    <row r="93" spans="1:8" ht="37.5" x14ac:dyDescent="0.3">
      <c r="A93" s="16" t="s">
        <v>2660</v>
      </c>
      <c r="B93" s="200" t="s">
        <v>646</v>
      </c>
      <c r="C93" s="2" t="s">
        <v>843</v>
      </c>
      <c r="D93" s="200" t="s">
        <v>843</v>
      </c>
      <c r="E93" s="16" t="s">
        <v>887</v>
      </c>
      <c r="F93" s="55"/>
      <c r="H93" s="64" t="s">
        <v>2182</v>
      </c>
    </row>
    <row r="94" spans="1:8" ht="25" x14ac:dyDescent="0.3">
      <c r="A94" s="16" t="s">
        <v>1448</v>
      </c>
      <c r="B94" s="200" t="s">
        <v>144</v>
      </c>
      <c r="C94" s="2" t="s">
        <v>144</v>
      </c>
      <c r="D94" s="200" t="s">
        <v>144</v>
      </c>
      <c r="E94" s="11" t="s">
        <v>801</v>
      </c>
      <c r="F94" s="55"/>
      <c r="H94" s="64" t="s">
        <v>2182</v>
      </c>
    </row>
    <row r="95" spans="1:8" ht="80.25" customHeight="1" x14ac:dyDescent="0.3">
      <c r="A95" s="16" t="s">
        <v>2662</v>
      </c>
      <c r="B95" s="200" t="s">
        <v>144</v>
      </c>
      <c r="C95" s="2" t="s">
        <v>144</v>
      </c>
      <c r="D95" s="200" t="s">
        <v>144</v>
      </c>
      <c r="E95" s="2" t="s">
        <v>2661</v>
      </c>
      <c r="F95" s="55"/>
      <c r="H95" s="64"/>
    </row>
    <row r="96" spans="1:8" x14ac:dyDescent="0.3">
      <c r="A96" s="10" t="s">
        <v>599</v>
      </c>
      <c r="B96" s="200" t="s">
        <v>145</v>
      </c>
      <c r="C96" s="2" t="s">
        <v>145</v>
      </c>
      <c r="D96" s="200" t="s">
        <v>145</v>
      </c>
      <c r="E96" s="11"/>
      <c r="F96" s="55"/>
      <c r="H96" s="64" t="s">
        <v>2182</v>
      </c>
    </row>
    <row r="97" spans="1:10" ht="50" x14ac:dyDescent="0.3">
      <c r="A97" s="16" t="s">
        <v>1134</v>
      </c>
      <c r="B97" s="200" t="s">
        <v>145</v>
      </c>
      <c r="C97" s="2" t="s">
        <v>145</v>
      </c>
      <c r="D97" s="200" t="s">
        <v>145</v>
      </c>
      <c r="E97" s="11"/>
      <c r="F97" s="55"/>
      <c r="H97" s="64" t="s">
        <v>2182</v>
      </c>
    </row>
    <row r="98" spans="1:10" ht="37.5" x14ac:dyDescent="0.3">
      <c r="A98" s="16" t="s">
        <v>1135</v>
      </c>
      <c r="B98" s="200" t="s">
        <v>145</v>
      </c>
      <c r="C98" s="2" t="s">
        <v>145</v>
      </c>
      <c r="D98" s="200" t="s">
        <v>145</v>
      </c>
      <c r="E98" s="16" t="s">
        <v>1136</v>
      </c>
      <c r="F98" s="55"/>
      <c r="H98" s="64" t="s">
        <v>2182</v>
      </c>
    </row>
    <row r="99" spans="1:10" ht="25" x14ac:dyDescent="0.3">
      <c r="A99" s="16" t="s">
        <v>888</v>
      </c>
      <c r="B99" s="200" t="s">
        <v>145</v>
      </c>
      <c r="C99" s="2" t="s">
        <v>145</v>
      </c>
      <c r="D99" s="200" t="s">
        <v>145</v>
      </c>
      <c r="E99" s="11"/>
      <c r="F99" s="55"/>
      <c r="H99" s="64" t="s">
        <v>2182</v>
      </c>
    </row>
    <row r="100" spans="1:10" ht="15.75" customHeight="1" x14ac:dyDescent="0.3">
      <c r="A100" s="10" t="s">
        <v>611</v>
      </c>
      <c r="B100" s="200" t="s">
        <v>145</v>
      </c>
      <c r="C100" s="2" t="s">
        <v>145</v>
      </c>
      <c r="D100" s="200" t="s">
        <v>145</v>
      </c>
      <c r="E100" s="10"/>
      <c r="F100" s="55"/>
      <c r="H100" s="64" t="s">
        <v>2182</v>
      </c>
    </row>
    <row r="101" spans="1:10" x14ac:dyDescent="0.3">
      <c r="A101" s="10" t="s">
        <v>612</v>
      </c>
      <c r="B101" s="200" t="s">
        <v>145</v>
      </c>
      <c r="C101" s="2" t="s">
        <v>145</v>
      </c>
      <c r="D101" s="200" t="s">
        <v>145</v>
      </c>
      <c r="E101" s="11"/>
      <c r="F101" s="55"/>
      <c r="H101" s="64" t="s">
        <v>2182</v>
      </c>
    </row>
    <row r="102" spans="1:10" ht="75" x14ac:dyDescent="0.3">
      <c r="A102" s="79" t="s">
        <v>2314</v>
      </c>
      <c r="B102" s="200" t="s">
        <v>145</v>
      </c>
      <c r="C102" s="2" t="s">
        <v>145</v>
      </c>
      <c r="D102" s="200" t="s">
        <v>145</v>
      </c>
      <c r="E102" s="2" t="s">
        <v>1819</v>
      </c>
      <c r="F102" s="55"/>
      <c r="H102" s="64" t="s">
        <v>2182</v>
      </c>
    </row>
    <row r="103" spans="1:10" ht="37.5" x14ac:dyDescent="0.3">
      <c r="A103" s="79" t="s">
        <v>2315</v>
      </c>
      <c r="B103" s="200" t="s">
        <v>145</v>
      </c>
      <c r="C103" s="2" t="s">
        <v>145</v>
      </c>
      <c r="D103" s="200" t="s">
        <v>145</v>
      </c>
      <c r="E103" s="2" t="s">
        <v>1819</v>
      </c>
      <c r="F103" s="55"/>
      <c r="H103" s="64" t="s">
        <v>2182</v>
      </c>
    </row>
    <row r="104" spans="1:10" ht="25" x14ac:dyDescent="0.3">
      <c r="A104" s="79" t="s">
        <v>1449</v>
      </c>
      <c r="B104" s="200" t="s">
        <v>145</v>
      </c>
      <c r="C104" s="2" t="s">
        <v>145</v>
      </c>
      <c r="D104" s="200" t="s">
        <v>145</v>
      </c>
      <c r="E104" s="2" t="s">
        <v>1820</v>
      </c>
      <c r="F104" s="55"/>
      <c r="H104" s="64" t="s">
        <v>2182</v>
      </c>
    </row>
    <row r="105" spans="1:10" ht="113" x14ac:dyDescent="0.3">
      <c r="A105" s="79" t="s">
        <v>2878</v>
      </c>
      <c r="B105" s="200" t="s">
        <v>145</v>
      </c>
      <c r="C105" s="2" t="s">
        <v>145</v>
      </c>
      <c r="D105" s="200" t="s">
        <v>145</v>
      </c>
      <c r="E105" s="2"/>
      <c r="F105" s="55"/>
      <c r="G105" s="60" t="s">
        <v>993</v>
      </c>
      <c r="H105" s="64"/>
    </row>
    <row r="106" spans="1:10" s="46" customFormat="1" ht="25" x14ac:dyDescent="0.3">
      <c r="A106" s="34" t="s">
        <v>323</v>
      </c>
      <c r="B106" s="200" t="s">
        <v>144</v>
      </c>
      <c r="C106" s="2" t="s">
        <v>144</v>
      </c>
      <c r="D106" s="200" t="s">
        <v>144</v>
      </c>
      <c r="E106" s="16" t="s">
        <v>2562</v>
      </c>
      <c r="F106" s="55"/>
      <c r="G106" s="60"/>
      <c r="H106" s="64" t="s">
        <v>2182</v>
      </c>
      <c r="I106" s="60"/>
      <c r="J106" s="60"/>
    </row>
    <row r="107" spans="1:10" x14ac:dyDescent="0.3">
      <c r="A107" s="10" t="s">
        <v>302</v>
      </c>
      <c r="B107" s="200" t="s">
        <v>144</v>
      </c>
      <c r="C107" s="2" t="s">
        <v>144</v>
      </c>
      <c r="D107" s="200" t="s">
        <v>144</v>
      </c>
      <c r="E107" s="11"/>
      <c r="F107" s="55"/>
      <c r="H107" s="64" t="s">
        <v>2182</v>
      </c>
    </row>
    <row r="108" spans="1:10" ht="62.5" x14ac:dyDescent="0.3">
      <c r="A108" s="16" t="s">
        <v>2211</v>
      </c>
      <c r="B108" s="200" t="s">
        <v>144</v>
      </c>
      <c r="C108" s="2" t="s">
        <v>144</v>
      </c>
      <c r="D108" s="200" t="s">
        <v>144</v>
      </c>
      <c r="E108" s="16" t="s">
        <v>2212</v>
      </c>
      <c r="F108" s="55"/>
      <c r="H108" s="64" t="s">
        <v>2182</v>
      </c>
    </row>
    <row r="109" spans="1:10" ht="40.5" customHeight="1" x14ac:dyDescent="0.3">
      <c r="A109" s="10" t="s">
        <v>944</v>
      </c>
      <c r="B109" s="200" t="s">
        <v>144</v>
      </c>
      <c r="C109" s="2" t="s">
        <v>144</v>
      </c>
      <c r="D109" s="200" t="s">
        <v>144</v>
      </c>
      <c r="E109" s="10" t="s">
        <v>945</v>
      </c>
      <c r="F109" s="55"/>
      <c r="H109" s="64" t="s">
        <v>2182</v>
      </c>
    </row>
    <row r="110" spans="1:10" ht="25" x14ac:dyDescent="0.3">
      <c r="A110" s="16" t="s">
        <v>2283</v>
      </c>
      <c r="B110" s="200" t="s">
        <v>144</v>
      </c>
      <c r="C110" s="2" t="s">
        <v>144</v>
      </c>
      <c r="D110" s="200" t="s">
        <v>144</v>
      </c>
      <c r="E110" s="16" t="s">
        <v>2285</v>
      </c>
      <c r="F110" s="55"/>
      <c r="G110" s="95"/>
      <c r="H110" s="64" t="s">
        <v>2182</v>
      </c>
    </row>
    <row r="111" spans="1:10" ht="12.75" customHeight="1" x14ac:dyDescent="0.3">
      <c r="A111" s="10" t="s">
        <v>2284</v>
      </c>
      <c r="B111" s="200" t="s">
        <v>144</v>
      </c>
      <c r="C111" s="2" t="s">
        <v>144</v>
      </c>
      <c r="D111" s="200" t="s">
        <v>144</v>
      </c>
      <c r="E111" s="16" t="s">
        <v>2286</v>
      </c>
      <c r="F111" s="55"/>
      <c r="G111" s="95"/>
      <c r="H111" s="64"/>
    </row>
    <row r="112" spans="1:10" ht="222.65" customHeight="1" x14ac:dyDescent="0.3">
      <c r="A112" s="16" t="s">
        <v>2879</v>
      </c>
      <c r="B112" s="200" t="s">
        <v>144</v>
      </c>
      <c r="C112" s="2" t="s">
        <v>144</v>
      </c>
      <c r="D112" s="200" t="s">
        <v>144</v>
      </c>
      <c r="E112" s="128" t="s">
        <v>946</v>
      </c>
      <c r="F112" s="55"/>
      <c r="G112" s="60" t="s">
        <v>1856</v>
      </c>
      <c r="H112" s="64" t="s">
        <v>2182</v>
      </c>
    </row>
    <row r="113" spans="1:8" ht="25" x14ac:dyDescent="0.3">
      <c r="A113" s="16" t="s">
        <v>259</v>
      </c>
      <c r="B113" s="200" t="s">
        <v>144</v>
      </c>
      <c r="C113" s="2" t="s">
        <v>144</v>
      </c>
      <c r="D113" s="200" t="s">
        <v>144</v>
      </c>
      <c r="E113" s="11" t="s">
        <v>260</v>
      </c>
      <c r="F113" s="55"/>
      <c r="H113" s="64" t="s">
        <v>2182</v>
      </c>
    </row>
    <row r="114" spans="1:8" x14ac:dyDescent="0.3">
      <c r="A114" s="10" t="s">
        <v>547</v>
      </c>
      <c r="B114" s="200" t="s">
        <v>646</v>
      </c>
      <c r="C114" s="2" t="s">
        <v>646</v>
      </c>
      <c r="D114" s="200" t="s">
        <v>646</v>
      </c>
      <c r="E114" s="11"/>
      <c r="F114" s="55"/>
      <c r="H114" s="64" t="s">
        <v>2182</v>
      </c>
    </row>
    <row r="115" spans="1:8" x14ac:dyDescent="0.3">
      <c r="A115" s="10" t="s">
        <v>947</v>
      </c>
      <c r="B115" s="200" t="s">
        <v>646</v>
      </c>
      <c r="C115" s="2" t="s">
        <v>646</v>
      </c>
      <c r="D115" s="200" t="s">
        <v>646</v>
      </c>
      <c r="E115" s="11" t="s">
        <v>819</v>
      </c>
      <c r="F115" s="55"/>
      <c r="H115" s="64" t="s">
        <v>2182</v>
      </c>
    </row>
    <row r="116" spans="1:8" x14ac:dyDescent="0.3">
      <c r="A116" s="79" t="s">
        <v>1137</v>
      </c>
      <c r="B116" s="200" t="s">
        <v>646</v>
      </c>
      <c r="C116" s="2" t="s">
        <v>646</v>
      </c>
      <c r="D116" s="200" t="s">
        <v>646</v>
      </c>
      <c r="E116" s="11"/>
      <c r="F116" s="55"/>
      <c r="H116" s="64" t="s">
        <v>2182</v>
      </c>
    </row>
    <row r="117" spans="1:8" x14ac:dyDescent="0.3">
      <c r="A117" s="79" t="s">
        <v>2034</v>
      </c>
      <c r="B117" s="200" t="s">
        <v>646</v>
      </c>
      <c r="C117" s="2" t="s">
        <v>843</v>
      </c>
      <c r="D117" s="200"/>
      <c r="E117" s="11"/>
      <c r="F117" s="55"/>
      <c r="H117" s="64" t="s">
        <v>2182</v>
      </c>
    </row>
    <row r="118" spans="1:8" x14ac:dyDescent="0.3">
      <c r="A118" s="79" t="s">
        <v>1140</v>
      </c>
      <c r="B118" s="200" t="s">
        <v>646</v>
      </c>
      <c r="C118" s="2" t="s">
        <v>843</v>
      </c>
      <c r="D118" s="200"/>
      <c r="E118" s="11"/>
      <c r="F118" s="55"/>
      <c r="H118" s="64" t="s">
        <v>2182</v>
      </c>
    </row>
    <row r="119" spans="1:8" x14ac:dyDescent="0.3">
      <c r="A119" s="79" t="s">
        <v>1138</v>
      </c>
      <c r="B119" s="200" t="s">
        <v>646</v>
      </c>
      <c r="C119" s="2" t="s">
        <v>843</v>
      </c>
      <c r="D119" s="200"/>
      <c r="E119" s="11"/>
      <c r="F119" s="55"/>
      <c r="H119" s="64" t="s">
        <v>2182</v>
      </c>
    </row>
    <row r="120" spans="1:8" x14ac:dyDescent="0.3">
      <c r="A120" s="79" t="s">
        <v>1139</v>
      </c>
      <c r="B120" s="200" t="s">
        <v>646</v>
      </c>
      <c r="C120" s="2" t="s">
        <v>646</v>
      </c>
      <c r="D120" s="200"/>
      <c r="E120" s="11"/>
      <c r="F120" s="55"/>
      <c r="H120" s="64" t="s">
        <v>2182</v>
      </c>
    </row>
    <row r="121" spans="1:8" ht="25" x14ac:dyDescent="0.3">
      <c r="A121" s="79" t="s">
        <v>2035</v>
      </c>
      <c r="B121" s="200" t="s">
        <v>646</v>
      </c>
      <c r="C121" s="2" t="s">
        <v>646</v>
      </c>
      <c r="D121" s="200"/>
      <c r="E121" s="11"/>
      <c r="F121" s="55"/>
      <c r="H121" s="64" t="s">
        <v>2182</v>
      </c>
    </row>
    <row r="122" spans="1:8" ht="27" customHeight="1" x14ac:dyDescent="0.3">
      <c r="A122" s="79" t="s">
        <v>2036</v>
      </c>
      <c r="B122" s="200" t="s">
        <v>646</v>
      </c>
      <c r="C122" s="2" t="s">
        <v>844</v>
      </c>
      <c r="D122" s="200"/>
      <c r="E122" s="11" t="s">
        <v>261</v>
      </c>
      <c r="F122" s="55"/>
      <c r="H122" s="64" t="s">
        <v>2182</v>
      </c>
    </row>
    <row r="123" spans="1:8" ht="50" x14ac:dyDescent="0.3">
      <c r="A123" s="79" t="s">
        <v>2363</v>
      </c>
      <c r="B123" s="200" t="s">
        <v>646</v>
      </c>
      <c r="C123" s="2" t="s">
        <v>844</v>
      </c>
      <c r="D123" s="200"/>
      <c r="E123" s="16" t="s">
        <v>2563</v>
      </c>
      <c r="F123" s="55"/>
      <c r="H123" s="64" t="s">
        <v>2182</v>
      </c>
    </row>
    <row r="124" spans="1:8" ht="27" customHeight="1" x14ac:dyDescent="0.3">
      <c r="A124" s="79" t="s">
        <v>2037</v>
      </c>
      <c r="B124" s="200" t="s">
        <v>646</v>
      </c>
      <c r="C124" s="2" t="s">
        <v>646</v>
      </c>
      <c r="D124" s="200" t="s">
        <v>646</v>
      </c>
      <c r="E124" s="16" t="s">
        <v>2038</v>
      </c>
      <c r="F124" s="55"/>
      <c r="H124" s="64" t="s">
        <v>2182</v>
      </c>
    </row>
    <row r="125" spans="1:8" ht="25" x14ac:dyDescent="0.3">
      <c r="A125" s="16" t="s">
        <v>2039</v>
      </c>
      <c r="B125" s="200" t="s">
        <v>646</v>
      </c>
      <c r="C125" s="2" t="s">
        <v>843</v>
      </c>
      <c r="D125" s="200"/>
      <c r="F125" s="55"/>
      <c r="H125" s="64" t="s">
        <v>2182</v>
      </c>
    </row>
    <row r="126" spans="1:8" ht="37.5" x14ac:dyDescent="0.3">
      <c r="A126" s="16" t="s">
        <v>2663</v>
      </c>
      <c r="B126" s="200" t="s">
        <v>646</v>
      </c>
      <c r="C126" s="2" t="s">
        <v>646</v>
      </c>
      <c r="D126" s="200"/>
      <c r="E126" s="11" t="s">
        <v>820</v>
      </c>
      <c r="F126" s="55"/>
      <c r="H126" s="64" t="s">
        <v>2182</v>
      </c>
    </row>
    <row r="127" spans="1:8" ht="79" customHeight="1" x14ac:dyDescent="0.3">
      <c r="A127" s="16" t="s">
        <v>2974</v>
      </c>
      <c r="B127" s="200" t="s">
        <v>646</v>
      </c>
      <c r="C127" s="2" t="s">
        <v>646</v>
      </c>
      <c r="D127" s="200"/>
      <c r="E127" s="2" t="s">
        <v>2880</v>
      </c>
      <c r="F127" s="55"/>
      <c r="G127" s="60" t="s">
        <v>2329</v>
      </c>
      <c r="H127" s="64"/>
    </row>
    <row r="128" spans="1:8" x14ac:dyDescent="0.3">
      <c r="A128" s="10" t="s">
        <v>802</v>
      </c>
      <c r="B128" s="200" t="s">
        <v>646</v>
      </c>
      <c r="C128" s="2" t="s">
        <v>843</v>
      </c>
      <c r="D128" s="200"/>
      <c r="E128" s="11" t="s">
        <v>803</v>
      </c>
      <c r="F128" s="55"/>
      <c r="H128" s="64" t="s">
        <v>2182</v>
      </c>
    </row>
    <row r="129" spans="1:10" x14ac:dyDescent="0.3">
      <c r="A129" s="10" t="s">
        <v>599</v>
      </c>
      <c r="B129" s="200" t="s">
        <v>145</v>
      </c>
      <c r="C129" s="2" t="s">
        <v>145</v>
      </c>
      <c r="D129" s="200" t="s">
        <v>145</v>
      </c>
      <c r="E129" s="11"/>
      <c r="F129" s="55"/>
      <c r="H129" s="64" t="s">
        <v>2182</v>
      </c>
    </row>
    <row r="130" spans="1:10" x14ac:dyDescent="0.3">
      <c r="A130" s="10" t="s">
        <v>613</v>
      </c>
      <c r="B130" s="200" t="s">
        <v>145</v>
      </c>
      <c r="C130" s="2" t="s">
        <v>145</v>
      </c>
      <c r="D130" s="200" t="s">
        <v>145</v>
      </c>
      <c r="E130" s="11"/>
      <c r="F130" s="55"/>
      <c r="H130" s="64" t="s">
        <v>2182</v>
      </c>
    </row>
    <row r="131" spans="1:10" ht="32.15" customHeight="1" x14ac:dyDescent="0.3">
      <c r="A131" s="16" t="s">
        <v>2881</v>
      </c>
      <c r="B131" s="200" t="s">
        <v>145</v>
      </c>
      <c r="C131" s="2" t="s">
        <v>145</v>
      </c>
      <c r="D131" s="200" t="s">
        <v>145</v>
      </c>
      <c r="E131" s="2" t="s">
        <v>1819</v>
      </c>
      <c r="F131" s="55"/>
      <c r="G131" s="60" t="s">
        <v>1856</v>
      </c>
      <c r="H131" s="64" t="s">
        <v>2182</v>
      </c>
    </row>
    <row r="132" spans="1:10" s="46" customFormat="1" ht="25" x14ac:dyDescent="0.3">
      <c r="A132" s="34" t="s">
        <v>889</v>
      </c>
      <c r="B132" s="200" t="s">
        <v>144</v>
      </c>
      <c r="C132" s="2" t="s">
        <v>144</v>
      </c>
      <c r="D132" s="200" t="s">
        <v>144</v>
      </c>
      <c r="E132" s="16" t="s">
        <v>2564</v>
      </c>
      <c r="F132" s="55"/>
      <c r="G132" s="60"/>
      <c r="H132" s="64" t="s">
        <v>2182</v>
      </c>
      <c r="I132" s="60"/>
      <c r="J132" s="60"/>
    </row>
    <row r="133" spans="1:10" x14ac:dyDescent="0.3">
      <c r="A133" s="10" t="s">
        <v>863</v>
      </c>
      <c r="B133" s="200" t="s">
        <v>144</v>
      </c>
      <c r="C133" s="2" t="s">
        <v>144</v>
      </c>
      <c r="D133" s="200" t="s">
        <v>144</v>
      </c>
      <c r="E133" s="11"/>
      <c r="F133" s="55"/>
      <c r="H133" s="64" t="s">
        <v>2182</v>
      </c>
    </row>
    <row r="134" spans="1:10" ht="25" x14ac:dyDescent="0.3">
      <c r="A134" s="10" t="s">
        <v>890</v>
      </c>
      <c r="B134" s="200" t="s">
        <v>144</v>
      </c>
      <c r="C134" s="2" t="s">
        <v>144</v>
      </c>
      <c r="D134" s="200" t="s">
        <v>144</v>
      </c>
      <c r="E134" s="11" t="s">
        <v>891</v>
      </c>
      <c r="F134" s="55"/>
      <c r="H134" s="64" t="s">
        <v>2182</v>
      </c>
    </row>
    <row r="135" spans="1:10" x14ac:dyDescent="0.3">
      <c r="A135" s="10" t="s">
        <v>892</v>
      </c>
      <c r="B135" s="200" t="s">
        <v>144</v>
      </c>
      <c r="C135" s="2" t="s">
        <v>144</v>
      </c>
      <c r="D135" s="200" t="s">
        <v>144</v>
      </c>
      <c r="E135" s="11"/>
      <c r="F135" s="55"/>
      <c r="H135" s="64" t="s">
        <v>2182</v>
      </c>
    </row>
    <row r="136" spans="1:10" ht="25" x14ac:dyDescent="0.3">
      <c r="A136" s="79" t="s">
        <v>1141</v>
      </c>
      <c r="B136" s="200" t="s">
        <v>144</v>
      </c>
      <c r="C136" s="2" t="s">
        <v>144</v>
      </c>
      <c r="D136" s="200" t="s">
        <v>144</v>
      </c>
      <c r="E136" s="11"/>
      <c r="F136" s="55"/>
      <c r="H136" s="64" t="s">
        <v>2182</v>
      </c>
    </row>
    <row r="137" spans="1:10" ht="25" x14ac:dyDescent="0.3">
      <c r="A137" s="10" t="s">
        <v>893</v>
      </c>
      <c r="B137" s="200" t="s">
        <v>144</v>
      </c>
      <c r="C137" s="2" t="s">
        <v>144</v>
      </c>
      <c r="D137" s="200" t="s">
        <v>144</v>
      </c>
      <c r="E137" s="11"/>
      <c r="F137" s="55"/>
      <c r="H137" s="64" t="s">
        <v>2182</v>
      </c>
    </row>
    <row r="138" spans="1:10" x14ac:dyDescent="0.3">
      <c r="A138" s="10" t="s">
        <v>894</v>
      </c>
      <c r="B138" s="200" t="s">
        <v>144</v>
      </c>
      <c r="C138" s="2" t="s">
        <v>144</v>
      </c>
      <c r="D138" s="200" t="s">
        <v>144</v>
      </c>
      <c r="E138" s="11" t="s">
        <v>895</v>
      </c>
      <c r="F138" s="55"/>
      <c r="H138" s="64" t="s">
        <v>2182</v>
      </c>
    </row>
    <row r="139" spans="1:10" x14ac:dyDescent="0.3">
      <c r="A139" s="79" t="s">
        <v>1143</v>
      </c>
      <c r="B139" s="200" t="s">
        <v>144</v>
      </c>
      <c r="C139" s="2" t="s">
        <v>144</v>
      </c>
      <c r="D139" s="200" t="s">
        <v>144</v>
      </c>
      <c r="E139" s="11"/>
      <c r="F139" s="55"/>
      <c r="H139" s="64" t="s">
        <v>2182</v>
      </c>
    </row>
    <row r="140" spans="1:10" x14ac:dyDescent="0.3">
      <c r="A140" s="79" t="s">
        <v>1142</v>
      </c>
      <c r="B140" s="200" t="s">
        <v>144</v>
      </c>
      <c r="C140" s="2" t="s">
        <v>144</v>
      </c>
      <c r="D140" s="200" t="s">
        <v>144</v>
      </c>
      <c r="E140" s="11"/>
      <c r="F140" s="55"/>
      <c r="H140" s="64" t="s">
        <v>2182</v>
      </c>
    </row>
    <row r="141" spans="1:10" x14ac:dyDescent="0.3">
      <c r="A141" s="79" t="s">
        <v>1144</v>
      </c>
      <c r="B141" s="200" t="s">
        <v>144</v>
      </c>
      <c r="C141" s="2" t="s">
        <v>144</v>
      </c>
      <c r="D141" s="200" t="s">
        <v>144</v>
      </c>
      <c r="E141" s="11"/>
      <c r="F141" s="55"/>
      <c r="H141" s="64" t="s">
        <v>2182</v>
      </c>
    </row>
    <row r="142" spans="1:10" x14ac:dyDescent="0.3">
      <c r="A142" s="79" t="s">
        <v>1145</v>
      </c>
      <c r="B142" s="200" t="s">
        <v>144</v>
      </c>
      <c r="C142" s="2" t="s">
        <v>144</v>
      </c>
      <c r="D142" s="200" t="s">
        <v>144</v>
      </c>
      <c r="E142" s="11"/>
      <c r="F142" s="55"/>
      <c r="H142" s="64" t="s">
        <v>2182</v>
      </c>
    </row>
    <row r="143" spans="1:10" x14ac:dyDescent="0.3">
      <c r="A143" s="79" t="s">
        <v>1146</v>
      </c>
      <c r="B143" s="200" t="s">
        <v>144</v>
      </c>
      <c r="C143" s="2" t="s">
        <v>144</v>
      </c>
      <c r="D143" s="200" t="s">
        <v>144</v>
      </c>
      <c r="E143" s="11"/>
      <c r="F143" s="55"/>
      <c r="H143" s="64" t="s">
        <v>2182</v>
      </c>
    </row>
    <row r="144" spans="1:10" x14ac:dyDescent="0.3">
      <c r="A144" s="79" t="s">
        <v>896</v>
      </c>
      <c r="B144" s="200" t="s">
        <v>144</v>
      </c>
      <c r="C144" s="2" t="s">
        <v>144</v>
      </c>
      <c r="D144" s="200" t="s">
        <v>144</v>
      </c>
      <c r="E144" s="11"/>
      <c r="F144" s="55"/>
      <c r="H144" s="64" t="s">
        <v>2182</v>
      </c>
    </row>
    <row r="145" spans="1:8" ht="25" x14ac:dyDescent="0.3">
      <c r="A145" s="10" t="s">
        <v>376</v>
      </c>
      <c r="B145" s="200" t="s">
        <v>144</v>
      </c>
      <c r="C145" s="2" t="s">
        <v>144</v>
      </c>
      <c r="D145" s="200" t="s">
        <v>144</v>
      </c>
      <c r="E145" s="11" t="s">
        <v>377</v>
      </c>
      <c r="F145" s="55"/>
      <c r="H145" s="64" t="s">
        <v>2182</v>
      </c>
    </row>
    <row r="146" spans="1:8" ht="25" x14ac:dyDescent="0.3">
      <c r="A146" s="16" t="s">
        <v>2664</v>
      </c>
      <c r="B146" s="200" t="s">
        <v>144</v>
      </c>
      <c r="C146" s="2" t="s">
        <v>144</v>
      </c>
      <c r="D146" s="200" t="s">
        <v>144</v>
      </c>
      <c r="E146" s="18" t="s">
        <v>2364</v>
      </c>
      <c r="F146" s="55"/>
      <c r="H146" s="64"/>
    </row>
    <row r="147" spans="1:8" x14ac:dyDescent="0.3">
      <c r="A147" s="10" t="s">
        <v>302</v>
      </c>
      <c r="B147" s="200" t="s">
        <v>144</v>
      </c>
      <c r="C147" s="2" t="s">
        <v>144</v>
      </c>
      <c r="D147" s="200" t="s">
        <v>144</v>
      </c>
      <c r="E147" s="55"/>
      <c r="F147" s="55"/>
      <c r="H147" s="64" t="s">
        <v>2182</v>
      </c>
    </row>
    <row r="148" spans="1:8" ht="37.5" x14ac:dyDescent="0.3">
      <c r="A148" s="10" t="s">
        <v>948</v>
      </c>
      <c r="B148" s="200" t="s">
        <v>144</v>
      </c>
      <c r="C148" s="2" t="s">
        <v>144</v>
      </c>
      <c r="D148" s="200" t="s">
        <v>144</v>
      </c>
      <c r="E148" s="11" t="s">
        <v>661</v>
      </c>
      <c r="F148" s="55"/>
      <c r="H148" s="64" t="s">
        <v>2182</v>
      </c>
    </row>
    <row r="149" spans="1:8" ht="37.5" x14ac:dyDescent="0.3">
      <c r="A149" s="16" t="s">
        <v>1450</v>
      </c>
      <c r="B149" s="200" t="s">
        <v>144</v>
      </c>
      <c r="C149" s="2" t="s">
        <v>144</v>
      </c>
      <c r="D149" s="200" t="s">
        <v>144</v>
      </c>
      <c r="E149" s="11" t="s">
        <v>897</v>
      </c>
      <c r="F149" s="55"/>
      <c r="H149" s="64" t="s">
        <v>2182</v>
      </c>
    </row>
    <row r="150" spans="1:8" x14ac:dyDescent="0.3">
      <c r="A150" s="10" t="s">
        <v>547</v>
      </c>
      <c r="B150" s="200" t="s">
        <v>646</v>
      </c>
      <c r="C150" s="2" t="s">
        <v>646</v>
      </c>
      <c r="D150" s="200" t="s">
        <v>646</v>
      </c>
      <c r="E150" s="11"/>
      <c r="F150" s="55"/>
      <c r="H150" s="64" t="s">
        <v>2182</v>
      </c>
    </row>
    <row r="151" spans="1:8" ht="37.5" x14ac:dyDescent="0.3">
      <c r="A151" s="16" t="s">
        <v>1451</v>
      </c>
      <c r="B151" s="200" t="s">
        <v>646</v>
      </c>
      <c r="C151" s="2" t="s">
        <v>646</v>
      </c>
      <c r="D151" s="200" t="s">
        <v>646</v>
      </c>
      <c r="E151" s="11" t="s">
        <v>667</v>
      </c>
      <c r="F151" s="55"/>
      <c r="G151" s="60" t="s">
        <v>2910</v>
      </c>
      <c r="H151" s="64" t="s">
        <v>2182</v>
      </c>
    </row>
    <row r="152" spans="1:8" ht="50" x14ac:dyDescent="0.3">
      <c r="A152" s="16" t="s">
        <v>2040</v>
      </c>
      <c r="B152" s="200" t="s">
        <v>646</v>
      </c>
      <c r="C152" s="2" t="s">
        <v>646</v>
      </c>
      <c r="D152" s="200" t="s">
        <v>646</v>
      </c>
      <c r="E152" s="16" t="s">
        <v>2565</v>
      </c>
      <c r="F152" s="55"/>
      <c r="H152" s="64" t="s">
        <v>2182</v>
      </c>
    </row>
    <row r="153" spans="1:8" ht="25" x14ac:dyDescent="0.3">
      <c r="A153" s="16" t="s">
        <v>2041</v>
      </c>
      <c r="B153" s="200" t="s">
        <v>646</v>
      </c>
      <c r="C153" s="2" t="s">
        <v>646</v>
      </c>
      <c r="D153" s="200"/>
      <c r="E153" s="16" t="s">
        <v>2042</v>
      </c>
      <c r="F153" s="55"/>
      <c r="H153" s="64" t="s">
        <v>2182</v>
      </c>
    </row>
    <row r="154" spans="1:8" ht="50" x14ac:dyDescent="0.3">
      <c r="A154" s="16" t="s">
        <v>2365</v>
      </c>
      <c r="B154" s="200" t="s">
        <v>646</v>
      </c>
      <c r="C154" s="2" t="s">
        <v>646</v>
      </c>
      <c r="D154" s="200"/>
      <c r="E154" s="16" t="s">
        <v>2392</v>
      </c>
      <c r="F154" s="55"/>
      <c r="H154" s="64"/>
    </row>
    <row r="155" spans="1:8" x14ac:dyDescent="0.3">
      <c r="A155" s="16" t="s">
        <v>2373</v>
      </c>
      <c r="B155" s="200" t="s">
        <v>646</v>
      </c>
      <c r="C155" s="2"/>
      <c r="D155" s="200"/>
      <c r="E155" s="11"/>
      <c r="F155" s="55"/>
      <c r="H155" s="64" t="s">
        <v>2182</v>
      </c>
    </row>
    <row r="156" spans="1:8" ht="25" x14ac:dyDescent="0.3">
      <c r="A156" s="79" t="s">
        <v>1147</v>
      </c>
      <c r="B156" s="200" t="s">
        <v>646</v>
      </c>
      <c r="C156" s="2" t="s">
        <v>843</v>
      </c>
      <c r="D156" s="200"/>
      <c r="E156" s="2" t="s">
        <v>2366</v>
      </c>
      <c r="F156" s="55"/>
      <c r="H156" s="64" t="s">
        <v>2182</v>
      </c>
    </row>
    <row r="157" spans="1:8" ht="25" x14ac:dyDescent="0.3">
      <c r="A157" s="79" t="s">
        <v>2367</v>
      </c>
      <c r="B157" s="200" t="s">
        <v>646</v>
      </c>
      <c r="C157" s="2" t="s">
        <v>843</v>
      </c>
      <c r="D157" s="200"/>
      <c r="E157" s="2" t="s">
        <v>2368</v>
      </c>
      <c r="F157" s="55"/>
      <c r="H157" s="64" t="s">
        <v>2182</v>
      </c>
    </row>
    <row r="158" spans="1:8" ht="25" x14ac:dyDescent="0.3">
      <c r="A158" s="79" t="s">
        <v>1452</v>
      </c>
      <c r="B158" s="200" t="s">
        <v>646</v>
      </c>
      <c r="C158" s="2"/>
      <c r="D158" s="200"/>
      <c r="E158" s="11" t="s">
        <v>320</v>
      </c>
      <c r="F158" s="55"/>
      <c r="H158" s="64" t="s">
        <v>2182</v>
      </c>
    </row>
    <row r="159" spans="1:8" ht="37.5" x14ac:dyDescent="0.3">
      <c r="A159" s="79" t="s">
        <v>2369</v>
      </c>
      <c r="B159" s="200" t="s">
        <v>646</v>
      </c>
      <c r="C159" s="2"/>
      <c r="D159" s="200"/>
      <c r="E159" s="11" t="s">
        <v>321</v>
      </c>
      <c r="F159" s="55"/>
      <c r="H159" s="64" t="s">
        <v>2182</v>
      </c>
    </row>
    <row r="160" spans="1:8" ht="25" x14ac:dyDescent="0.3">
      <c r="A160" s="79" t="s">
        <v>2370</v>
      </c>
      <c r="B160" s="200" t="s">
        <v>646</v>
      </c>
      <c r="C160" s="2"/>
      <c r="D160" s="200"/>
      <c r="E160" s="2" t="s">
        <v>2371</v>
      </c>
      <c r="F160" s="55"/>
      <c r="H160" s="64"/>
    </row>
    <row r="161" spans="1:8" x14ac:dyDescent="0.3">
      <c r="A161" s="10" t="s">
        <v>599</v>
      </c>
      <c r="B161" s="200" t="s">
        <v>145</v>
      </c>
      <c r="C161" s="2" t="s">
        <v>145</v>
      </c>
      <c r="D161" s="200" t="s">
        <v>145</v>
      </c>
      <c r="E161" s="11"/>
      <c r="F161" s="55"/>
      <c r="H161" s="64" t="s">
        <v>2182</v>
      </c>
    </row>
    <row r="162" spans="1:8" ht="25" x14ac:dyDescent="0.3">
      <c r="A162" s="16" t="s">
        <v>322</v>
      </c>
      <c r="B162" s="200" t="s">
        <v>145</v>
      </c>
      <c r="C162" s="2" t="s">
        <v>145</v>
      </c>
      <c r="D162" s="200" t="s">
        <v>145</v>
      </c>
      <c r="E162" s="11"/>
      <c r="F162" s="55"/>
      <c r="H162" s="64" t="s">
        <v>2182</v>
      </c>
    </row>
    <row r="163" spans="1:8" ht="62.5" x14ac:dyDescent="0.3">
      <c r="A163" s="22" t="s">
        <v>2372</v>
      </c>
      <c r="B163" s="200" t="s">
        <v>145</v>
      </c>
      <c r="C163" s="2" t="s">
        <v>145</v>
      </c>
      <c r="D163" s="200" t="s">
        <v>145</v>
      </c>
      <c r="E163" s="16" t="s">
        <v>2043</v>
      </c>
      <c r="F163" s="55"/>
      <c r="H163" s="64" t="s">
        <v>2182</v>
      </c>
    </row>
    <row r="164" spans="1:8" x14ac:dyDescent="0.3">
      <c r="A164" s="22" t="s">
        <v>1148</v>
      </c>
      <c r="B164" s="200" t="s">
        <v>145</v>
      </c>
      <c r="C164" s="2" t="s">
        <v>145</v>
      </c>
      <c r="D164" s="200" t="s">
        <v>145</v>
      </c>
      <c r="E164" s="11"/>
      <c r="F164" s="55"/>
      <c r="H164" s="64" t="s">
        <v>2182</v>
      </c>
    </row>
    <row r="165" spans="1:8" x14ac:dyDescent="0.3">
      <c r="A165" s="22" t="s">
        <v>1149</v>
      </c>
      <c r="B165" s="200" t="s">
        <v>145</v>
      </c>
      <c r="C165" s="2" t="s">
        <v>145</v>
      </c>
      <c r="D165" s="200" t="s">
        <v>145</v>
      </c>
      <c r="E165" s="11"/>
      <c r="F165" s="55"/>
      <c r="H165" s="64" t="s">
        <v>2182</v>
      </c>
    </row>
    <row r="166" spans="1:8" ht="37.5" x14ac:dyDescent="0.3">
      <c r="A166" s="22" t="s">
        <v>128</v>
      </c>
      <c r="B166" s="200" t="s">
        <v>145</v>
      </c>
      <c r="C166" s="2" t="s">
        <v>145</v>
      </c>
      <c r="D166" s="200" t="s">
        <v>145</v>
      </c>
      <c r="E166" s="11"/>
      <c r="F166" s="55"/>
      <c r="H166" s="64" t="s">
        <v>2182</v>
      </c>
    </row>
    <row r="167" spans="1:8" ht="37.5" x14ac:dyDescent="0.3">
      <c r="A167" s="22" t="s">
        <v>614</v>
      </c>
      <c r="B167" s="200" t="s">
        <v>145</v>
      </c>
      <c r="C167" s="2" t="s">
        <v>145</v>
      </c>
      <c r="D167" s="200" t="s">
        <v>145</v>
      </c>
      <c r="E167" s="11"/>
      <c r="F167" s="55"/>
      <c r="H167" s="64" t="s">
        <v>2182</v>
      </c>
    </row>
    <row r="168" spans="1:8" ht="87.5" x14ac:dyDescent="0.3">
      <c r="A168" s="22" t="s">
        <v>1150</v>
      </c>
      <c r="B168" s="200" t="s">
        <v>145</v>
      </c>
      <c r="C168" s="2" t="s">
        <v>145</v>
      </c>
      <c r="D168" s="200" t="s">
        <v>145</v>
      </c>
      <c r="E168" s="11"/>
      <c r="F168" s="55"/>
      <c r="H168" s="64" t="s">
        <v>2182</v>
      </c>
    </row>
    <row r="190" spans="1:1" x14ac:dyDescent="0.25">
      <c r="A190" s="5"/>
    </row>
  </sheetData>
  <sheetProtection algorithmName="SHA-512" hashValue="GzF57GSrl4iecMFbaVGxuwiZG5y+LnNkfjKus4oSp8R0N5Y8OJIg9abfyMIIbBEb7zM5KqTZshY36DIb9cRCLA==" saltValue="UH0Yi/IzUG6G5hr6t0b/RA==" spinCount="100000" sheet="1" objects="1" scenarios="1" autoFilter="0"/>
  <autoFilter ref="B5:G168" xr:uid="{00000000-0009-0000-0000-000005000000}"/>
  <customSheetViews>
    <customSheetView guid="{33D191C9-AE75-45EC-B301-B583C3381734}" showGridLines="0" fitToPage="1" printArea="1" showAutoFilter="1">
      <pane ySplit="5" topLeftCell="A138" activePane="bottomLeft" state="frozen"/>
      <selection pane="bottomLeft"/>
      <pageMargins left="0.75" right="0.75" top="1" bottom="1" header="0.5" footer="0.5"/>
      <pageSetup paperSize="9" scale="76" fitToHeight="100" orientation="landscape" r:id="rId1"/>
      <headerFooter alignWithMargins="0"/>
      <autoFilter ref="B1:G1" xr:uid="{1272C757-28A7-42C9-8A97-5E41990B0934}"/>
    </customSheetView>
  </customSheetViews>
  <mergeCells count="2">
    <mergeCell ref="B3:F3"/>
    <mergeCell ref="B4:F4"/>
  </mergeCells>
  <phoneticPr fontId="2" type="noConversion"/>
  <dataValidations count="1">
    <dataValidation type="list" allowBlank="1" showInputMessage="1" showErrorMessage="1" sqref="F7:F168" xr:uid="{00000000-0002-0000-0500-000000000000}">
      <formula1>"Akkoord,Opmerking,N.v.t.,,"</formula1>
    </dataValidation>
  </dataValidations>
  <hyperlinks>
    <hyperlink ref="A5" location="'Materiele vaste activa'!A2" display="Materiële vaste activa" xr:uid="{00000000-0004-0000-0500-000000000000}"/>
    <hyperlink ref="A7" location="'Materiele vaste activa'!A3" display="ALGEMEEN" xr:uid="{00000000-0004-0000-0500-000001000000}"/>
    <hyperlink ref="A43" location="'Materiele vaste activa'!A27" display="Waardering op actuele waarde" xr:uid="{00000000-0004-0000-0500-000002000000}"/>
    <hyperlink ref="A56" location="'Materiele vaste activa'!A37" display="Waardering op historische kostprijs" xr:uid="{00000000-0004-0000-0500-000003000000}"/>
    <hyperlink ref="A132" location="'Materiele vaste activa'!A87" display="Leasing" xr:uid="{00000000-0004-0000-0500-000004000000}"/>
    <hyperlink ref="A106" location="'Materiele vaste activa'!A124" display="Vastgoedbeleggingen" xr:uid="{00000000-0004-0000-0500-000005000000}"/>
    <hyperlink ref="A31" location="'Grondslagen en uitgangspunten'!A95" display="Er moet rekening gehouden worden met bijzondere waardeverminderingen (zie tabblad Grondslagen en uitgangspunten onderdeel Bijzondere waardeverminderingen)." xr:uid="{00000000-0004-0000-0500-000007000000}"/>
    <hyperlink ref="A42" location="'Materiële vaste activa'!A98" display="Op beleggingen in verhuurde onroerende zaken wordt niet afgeschreven. Deze worden gewaardeerd op actuele waarde (zie Vastgoedbeleggingen)." xr:uid="{00000000-0004-0000-0500-000008000000}"/>
  </hyperlinks>
  <pageMargins left="0.75" right="0.75" top="1" bottom="1" header="0.5" footer="0.5"/>
  <pageSetup paperSize="9" scale="76"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6154" r:id="rId5" name="Button 10">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6">
    <tabColor rgb="FF951B81"/>
    <pageSetUpPr fitToPage="1"/>
  </sheetPr>
  <dimension ref="A1:J132"/>
  <sheetViews>
    <sheetView showGridLines="0" zoomScaleNormal="100" workbookViewId="0">
      <pane ySplit="5" topLeftCell="A107" activePane="bottomLeft" state="frozen"/>
      <selection activeCell="A119" sqref="A119"/>
      <selection pane="bottomLeft" activeCell="A111" sqref="A111"/>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4.26953125" style="6"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2" t="str">
        <f>CONCATENATE("Klant en boekjaar: ",Klantnummer,"; ",Naam_klant,";  ",Boekjaar)</f>
        <v xml:space="preserve">Klant en boekjaar: ; ;  </v>
      </c>
      <c r="C4" s="253"/>
      <c r="D4" s="253"/>
      <c r="E4" s="253"/>
      <c r="F4" s="253"/>
    </row>
    <row r="5" spans="1:10" ht="15.5" x14ac:dyDescent="0.25">
      <c r="A5" s="204" t="s">
        <v>821</v>
      </c>
      <c r="B5" s="197" t="s">
        <v>642</v>
      </c>
      <c r="C5" s="197" t="s">
        <v>643</v>
      </c>
      <c r="D5" s="197" t="s">
        <v>644</v>
      </c>
      <c r="E5" s="198" t="s">
        <v>645</v>
      </c>
      <c r="F5" s="197" t="s">
        <v>54</v>
      </c>
      <c r="G5" s="199" t="s">
        <v>2858</v>
      </c>
    </row>
    <row r="6" spans="1:10" s="46" customFormat="1" ht="25" x14ac:dyDescent="0.3">
      <c r="A6" s="34" t="s">
        <v>821</v>
      </c>
      <c r="B6" s="200" t="s">
        <v>144</v>
      </c>
      <c r="C6" s="2" t="s">
        <v>144</v>
      </c>
      <c r="D6" s="200" t="s">
        <v>144</v>
      </c>
      <c r="E6" s="16" t="s">
        <v>2566</v>
      </c>
      <c r="F6" s="55"/>
      <c r="G6" s="39"/>
      <c r="H6" s="64"/>
      <c r="I6" s="60"/>
      <c r="J6" s="60"/>
    </row>
    <row r="7" spans="1:10" s="46" customFormat="1" x14ac:dyDescent="0.3">
      <c r="A7" s="34" t="s">
        <v>2213</v>
      </c>
      <c r="B7" s="200" t="s">
        <v>144</v>
      </c>
      <c r="C7" s="2" t="s">
        <v>144</v>
      </c>
      <c r="D7" s="200" t="s">
        <v>144</v>
      </c>
      <c r="E7" s="36"/>
      <c r="F7" s="55"/>
      <c r="G7" s="39"/>
      <c r="H7" s="64"/>
      <c r="I7" s="60"/>
      <c r="J7" s="60"/>
    </row>
    <row r="8" spans="1:10" ht="75" x14ac:dyDescent="0.3">
      <c r="A8" s="16" t="s">
        <v>949</v>
      </c>
      <c r="B8" s="200" t="s">
        <v>144</v>
      </c>
      <c r="C8" s="2" t="s">
        <v>144</v>
      </c>
      <c r="D8" s="200" t="s">
        <v>144</v>
      </c>
      <c r="E8" s="11"/>
      <c r="F8" s="55"/>
      <c r="G8" s="48"/>
      <c r="H8" s="64"/>
    </row>
    <row r="9" spans="1:10" s="46" customFormat="1" x14ac:dyDescent="0.3">
      <c r="A9" s="34" t="s">
        <v>194</v>
      </c>
      <c r="B9" s="200" t="s">
        <v>144</v>
      </c>
      <c r="C9" s="2" t="s">
        <v>144</v>
      </c>
      <c r="D9" s="200" t="s">
        <v>144</v>
      </c>
      <c r="E9" s="36"/>
      <c r="F9" s="55"/>
      <c r="G9" s="48"/>
      <c r="H9" s="64"/>
      <c r="I9" s="60"/>
      <c r="J9" s="60"/>
    </row>
    <row r="10" spans="1:10" ht="37.5" x14ac:dyDescent="0.3">
      <c r="A10" s="16" t="s">
        <v>1453</v>
      </c>
      <c r="B10" s="200" t="s">
        <v>144</v>
      </c>
      <c r="C10" s="2" t="s">
        <v>144</v>
      </c>
      <c r="D10" s="200" t="s">
        <v>144</v>
      </c>
      <c r="E10" s="11"/>
      <c r="F10" s="55"/>
      <c r="G10" s="48"/>
      <c r="H10" s="64"/>
    </row>
    <row r="11" spans="1:10" ht="25" x14ac:dyDescent="0.3">
      <c r="A11" s="10" t="s">
        <v>102</v>
      </c>
      <c r="B11" s="200" t="s">
        <v>144</v>
      </c>
      <c r="C11" s="2" t="s">
        <v>144</v>
      </c>
      <c r="D11" s="200" t="s">
        <v>144</v>
      </c>
      <c r="E11" s="11"/>
      <c r="F11" s="55"/>
      <c r="G11" s="48"/>
      <c r="H11" s="64"/>
    </row>
    <row r="12" spans="1:10" ht="38" x14ac:dyDescent="0.3">
      <c r="A12" s="10" t="s">
        <v>950</v>
      </c>
      <c r="B12" s="200" t="s">
        <v>144</v>
      </c>
      <c r="C12" s="2" t="s">
        <v>144</v>
      </c>
      <c r="D12" s="200" t="s">
        <v>144</v>
      </c>
      <c r="E12" s="11" t="s">
        <v>103</v>
      </c>
      <c r="F12" s="55"/>
      <c r="G12" s="48"/>
      <c r="H12" s="64"/>
    </row>
    <row r="13" spans="1:10" ht="25" x14ac:dyDescent="0.3">
      <c r="A13" s="16" t="s">
        <v>1454</v>
      </c>
      <c r="B13" s="200" t="s">
        <v>144</v>
      </c>
      <c r="C13" s="2" t="s">
        <v>144</v>
      </c>
      <c r="D13" s="200" t="s">
        <v>144</v>
      </c>
      <c r="E13" s="11" t="s">
        <v>1152</v>
      </c>
      <c r="F13" s="55"/>
      <c r="G13" s="48"/>
      <c r="H13" s="64"/>
    </row>
    <row r="14" spans="1:10" ht="25" x14ac:dyDescent="0.3">
      <c r="A14" s="16" t="s">
        <v>1151</v>
      </c>
      <c r="B14" s="200" t="s">
        <v>144</v>
      </c>
      <c r="C14" s="2" t="s">
        <v>144</v>
      </c>
      <c r="D14" s="200" t="s">
        <v>144</v>
      </c>
      <c r="E14" s="2" t="s">
        <v>1153</v>
      </c>
      <c r="F14" s="55"/>
      <c r="G14" s="48"/>
      <c r="H14" s="64"/>
    </row>
    <row r="15" spans="1:10" ht="25.5" x14ac:dyDescent="0.3">
      <c r="A15" s="10" t="s">
        <v>951</v>
      </c>
      <c r="B15" s="200" t="s">
        <v>144</v>
      </c>
      <c r="C15" s="2" t="s">
        <v>144</v>
      </c>
      <c r="D15" s="200" t="s">
        <v>144</v>
      </c>
      <c r="E15" s="11"/>
      <c r="F15" s="55"/>
      <c r="G15" s="48"/>
      <c r="H15" s="64"/>
    </row>
    <row r="16" spans="1:10" x14ac:dyDescent="0.3">
      <c r="A16" s="10" t="s">
        <v>952</v>
      </c>
      <c r="B16" s="200" t="s">
        <v>144</v>
      </c>
      <c r="C16" s="2" t="s">
        <v>144</v>
      </c>
      <c r="D16" s="200" t="s">
        <v>144</v>
      </c>
      <c r="E16" s="11"/>
      <c r="F16" s="55"/>
      <c r="G16" s="48"/>
      <c r="H16" s="64"/>
    </row>
    <row r="17" spans="1:8" ht="25" x14ac:dyDescent="0.3">
      <c r="A17" s="15" t="s">
        <v>953</v>
      </c>
      <c r="B17" s="200" t="s">
        <v>144</v>
      </c>
      <c r="C17" s="2" t="s">
        <v>144</v>
      </c>
      <c r="D17" s="200" t="s">
        <v>144</v>
      </c>
      <c r="E17" s="11"/>
      <c r="F17" s="55"/>
      <c r="G17" s="48"/>
      <c r="H17" s="64"/>
    </row>
    <row r="18" spans="1:8" ht="25" x14ac:dyDescent="0.3">
      <c r="A18" s="15" t="s">
        <v>954</v>
      </c>
      <c r="B18" s="200" t="s">
        <v>144</v>
      </c>
      <c r="C18" s="2" t="s">
        <v>144</v>
      </c>
      <c r="D18" s="200" t="s">
        <v>144</v>
      </c>
      <c r="E18" s="11"/>
      <c r="F18" s="55"/>
      <c r="G18" s="48"/>
      <c r="H18" s="64"/>
    </row>
    <row r="19" spans="1:8" x14ac:dyDescent="0.3">
      <c r="A19" s="15" t="s">
        <v>955</v>
      </c>
      <c r="B19" s="200" t="s">
        <v>144</v>
      </c>
      <c r="C19" s="2" t="s">
        <v>144</v>
      </c>
      <c r="D19" s="200" t="s">
        <v>144</v>
      </c>
      <c r="E19" t="s">
        <v>104</v>
      </c>
      <c r="F19" s="55"/>
      <c r="G19" s="48"/>
      <c r="H19" s="64"/>
    </row>
    <row r="20" spans="1:8" ht="50.5" x14ac:dyDescent="0.3">
      <c r="A20" s="10" t="s">
        <v>956</v>
      </c>
      <c r="B20" s="200" t="s">
        <v>144</v>
      </c>
      <c r="C20" s="2" t="s">
        <v>144</v>
      </c>
      <c r="D20" s="200" t="s">
        <v>144</v>
      </c>
      <c r="E20" s="11" t="s">
        <v>105</v>
      </c>
      <c r="F20" s="55"/>
      <c r="G20" s="48"/>
      <c r="H20" s="64"/>
    </row>
    <row r="21" spans="1:8" ht="27" customHeight="1" x14ac:dyDescent="0.3">
      <c r="A21" s="16" t="s">
        <v>1455</v>
      </c>
      <c r="B21" s="200" t="s">
        <v>144</v>
      </c>
      <c r="C21" s="2" t="s">
        <v>144</v>
      </c>
      <c r="D21" s="200" t="s">
        <v>144</v>
      </c>
      <c r="E21" s="11" t="s">
        <v>1154</v>
      </c>
      <c r="F21" s="55"/>
      <c r="G21" s="48"/>
      <c r="H21" s="64"/>
    </row>
    <row r="22" spans="1:8" x14ac:dyDescent="0.3">
      <c r="A22" s="10" t="s">
        <v>106</v>
      </c>
      <c r="B22" s="200" t="s">
        <v>144</v>
      </c>
      <c r="C22" s="2" t="s">
        <v>144</v>
      </c>
      <c r="D22" s="200" t="s">
        <v>144</v>
      </c>
      <c r="E22" s="11"/>
      <c r="F22" s="55"/>
      <c r="G22" s="48"/>
      <c r="H22" s="64"/>
    </row>
    <row r="23" spans="1:8" x14ac:dyDescent="0.3">
      <c r="A23" s="10" t="s">
        <v>302</v>
      </c>
      <c r="B23" s="200" t="s">
        <v>144</v>
      </c>
      <c r="C23" s="2" t="s">
        <v>144</v>
      </c>
      <c r="D23" s="200" t="s">
        <v>144</v>
      </c>
      <c r="F23" s="55"/>
      <c r="G23" s="48"/>
      <c r="H23" s="64"/>
    </row>
    <row r="24" spans="1:8" ht="39" customHeight="1" x14ac:dyDescent="0.3">
      <c r="A24" s="10" t="s">
        <v>957</v>
      </c>
      <c r="B24" s="200" t="s">
        <v>144</v>
      </c>
      <c r="C24" s="2" t="s">
        <v>144</v>
      </c>
      <c r="D24" s="200" t="s">
        <v>144</v>
      </c>
      <c r="E24" s="11" t="s">
        <v>512</v>
      </c>
      <c r="F24" s="55"/>
      <c r="G24" s="48"/>
      <c r="H24" s="64"/>
    </row>
    <row r="25" spans="1:8" ht="12.75" customHeight="1" x14ac:dyDescent="0.3">
      <c r="A25" s="10" t="s">
        <v>881</v>
      </c>
      <c r="B25" s="200" t="s">
        <v>144</v>
      </c>
      <c r="C25" s="2" t="s">
        <v>144</v>
      </c>
      <c r="D25" s="200" t="s">
        <v>144</v>
      </c>
      <c r="E25" s="11"/>
      <c r="F25" s="55"/>
      <c r="G25" s="48"/>
      <c r="H25" s="64"/>
    </row>
    <row r="26" spans="1:8" x14ac:dyDescent="0.3">
      <c r="A26" s="79" t="s">
        <v>1458</v>
      </c>
      <c r="B26" s="200" t="s">
        <v>144</v>
      </c>
      <c r="C26" s="2" t="s">
        <v>144</v>
      </c>
      <c r="D26" s="200" t="s">
        <v>144</v>
      </c>
      <c r="E26" s="11" t="s">
        <v>107</v>
      </c>
      <c r="F26" s="55"/>
      <c r="G26" s="48"/>
      <c r="H26" s="64"/>
    </row>
    <row r="27" spans="1:8" x14ac:dyDescent="0.3">
      <c r="A27" s="16" t="s">
        <v>1456</v>
      </c>
      <c r="B27" s="200" t="s">
        <v>144</v>
      </c>
      <c r="C27" s="2" t="s">
        <v>144</v>
      </c>
      <c r="D27" s="200" t="s">
        <v>144</v>
      </c>
      <c r="E27" s="11" t="s">
        <v>108</v>
      </c>
      <c r="F27" s="55"/>
      <c r="G27" s="48"/>
      <c r="H27" s="64"/>
    </row>
    <row r="28" spans="1:8" x14ac:dyDescent="0.3">
      <c r="A28" s="85" t="s">
        <v>1457</v>
      </c>
      <c r="B28" s="200" t="s">
        <v>144</v>
      </c>
      <c r="C28" s="2" t="s">
        <v>144</v>
      </c>
      <c r="D28" s="200" t="s">
        <v>144</v>
      </c>
      <c r="E28" s="11"/>
      <c r="F28" s="55"/>
      <c r="G28" s="48"/>
      <c r="H28" s="64"/>
    </row>
    <row r="29" spans="1:8" ht="37.5" x14ac:dyDescent="0.3">
      <c r="A29" s="16" t="s">
        <v>2214</v>
      </c>
      <c r="B29" s="200" t="s">
        <v>144</v>
      </c>
      <c r="C29" s="2" t="s">
        <v>144</v>
      </c>
      <c r="D29" s="200" t="s">
        <v>144</v>
      </c>
      <c r="E29" s="2" t="s">
        <v>1821</v>
      </c>
      <c r="F29" s="55"/>
      <c r="G29" s="48"/>
      <c r="H29" s="64"/>
    </row>
    <row r="30" spans="1:8" ht="113" x14ac:dyDescent="0.3">
      <c r="A30" s="146" t="s">
        <v>2975</v>
      </c>
      <c r="B30" s="200" t="s">
        <v>144</v>
      </c>
      <c r="C30" s="2" t="s">
        <v>144</v>
      </c>
      <c r="D30" s="200" t="s">
        <v>144</v>
      </c>
      <c r="E30" s="16" t="s">
        <v>1459</v>
      </c>
      <c r="F30" s="55"/>
      <c r="G30" s="48" t="s">
        <v>1856</v>
      </c>
      <c r="H30" s="64"/>
    </row>
    <row r="31" spans="1:8" ht="29.25" customHeight="1" x14ac:dyDescent="0.3">
      <c r="A31" s="16" t="s">
        <v>2004</v>
      </c>
      <c r="B31" s="200" t="s">
        <v>144</v>
      </c>
      <c r="C31" s="2" t="s">
        <v>144</v>
      </c>
      <c r="D31" s="200" t="s">
        <v>144</v>
      </c>
      <c r="E31" s="16" t="s">
        <v>1460</v>
      </c>
      <c r="F31" s="55"/>
      <c r="G31" s="48"/>
      <c r="H31" s="64"/>
    </row>
    <row r="32" spans="1:8" ht="25" x14ac:dyDescent="0.3">
      <c r="A32" s="146" t="s">
        <v>2215</v>
      </c>
      <c r="B32" s="200" t="s">
        <v>144</v>
      </c>
      <c r="C32" s="2" t="s">
        <v>144</v>
      </c>
      <c r="D32" s="200" t="s">
        <v>144</v>
      </c>
      <c r="E32" s="16" t="s">
        <v>2204</v>
      </c>
      <c r="F32" s="55"/>
      <c r="G32" s="48"/>
      <c r="H32" s="64"/>
    </row>
    <row r="33" spans="1:10" x14ac:dyDescent="0.3">
      <c r="A33" s="85" t="s">
        <v>1461</v>
      </c>
      <c r="B33" s="200" t="s">
        <v>144</v>
      </c>
      <c r="C33" s="2" t="s">
        <v>144</v>
      </c>
      <c r="D33" s="200" t="s">
        <v>144</v>
      </c>
      <c r="E33" s="11"/>
      <c r="F33" s="55"/>
      <c r="G33" s="48"/>
      <c r="H33" s="64"/>
    </row>
    <row r="34" spans="1:10" ht="25" x14ac:dyDescent="0.3">
      <c r="A34" s="16" t="s">
        <v>1462</v>
      </c>
      <c r="B34" s="200" t="s">
        <v>144</v>
      </c>
      <c r="C34" s="2" t="s">
        <v>144</v>
      </c>
      <c r="D34" s="200" t="s">
        <v>144</v>
      </c>
      <c r="E34" s="11" t="s">
        <v>108</v>
      </c>
      <c r="F34" s="55"/>
      <c r="G34" s="48"/>
      <c r="H34" s="64"/>
    </row>
    <row r="35" spans="1:10" ht="25" x14ac:dyDescent="0.3">
      <c r="A35" s="10" t="s">
        <v>109</v>
      </c>
      <c r="B35" s="200" t="s">
        <v>144</v>
      </c>
      <c r="C35" s="2" t="s">
        <v>144</v>
      </c>
      <c r="D35" s="200" t="s">
        <v>144</v>
      </c>
      <c r="E35" s="11" t="s">
        <v>110</v>
      </c>
      <c r="F35" s="55"/>
      <c r="G35" s="48"/>
      <c r="H35" s="64"/>
    </row>
    <row r="36" spans="1:10" ht="25" x14ac:dyDescent="0.3">
      <c r="A36" s="10" t="s">
        <v>111</v>
      </c>
      <c r="B36" s="200" t="s">
        <v>144</v>
      </c>
      <c r="C36" s="2" t="s">
        <v>144</v>
      </c>
      <c r="D36" s="200" t="s">
        <v>144</v>
      </c>
      <c r="E36" s="11"/>
      <c r="F36" s="55"/>
      <c r="G36" s="48"/>
      <c r="H36" s="64"/>
    </row>
    <row r="37" spans="1:10" ht="92.5" customHeight="1" x14ac:dyDescent="0.3">
      <c r="A37" s="16" t="s">
        <v>2882</v>
      </c>
      <c r="B37" s="200" t="s">
        <v>144</v>
      </c>
      <c r="C37" s="2" t="s">
        <v>144</v>
      </c>
      <c r="D37" s="200" t="s">
        <v>144</v>
      </c>
      <c r="E37" s="11" t="s">
        <v>2044</v>
      </c>
      <c r="F37" s="55"/>
      <c r="G37" s="48" t="s">
        <v>1856</v>
      </c>
      <c r="H37" s="64"/>
    </row>
    <row r="38" spans="1:10" x14ac:dyDescent="0.3">
      <c r="A38" s="85" t="s">
        <v>1463</v>
      </c>
      <c r="B38" s="200" t="s">
        <v>144</v>
      </c>
      <c r="C38" s="2" t="s">
        <v>144</v>
      </c>
      <c r="D38" s="200" t="s">
        <v>144</v>
      </c>
      <c r="E38" s="11"/>
      <c r="F38" s="55"/>
      <c r="G38" s="48"/>
      <c r="H38" s="64"/>
    </row>
    <row r="39" spans="1:10" ht="25" x14ac:dyDescent="0.3">
      <c r="A39" s="16" t="s">
        <v>1464</v>
      </c>
      <c r="B39" s="200" t="s">
        <v>144</v>
      </c>
      <c r="C39" s="2" t="s">
        <v>144</v>
      </c>
      <c r="D39" s="200" t="s">
        <v>144</v>
      </c>
      <c r="E39" s="11" t="s">
        <v>112</v>
      </c>
      <c r="F39" s="55"/>
      <c r="G39" s="48"/>
      <c r="H39" s="64"/>
    </row>
    <row r="40" spans="1:10" ht="50" x14ac:dyDescent="0.3">
      <c r="A40" s="10" t="s">
        <v>17</v>
      </c>
      <c r="B40" s="200" t="s">
        <v>144</v>
      </c>
      <c r="C40" s="2" t="s">
        <v>144</v>
      </c>
      <c r="D40" s="200" t="s">
        <v>144</v>
      </c>
      <c r="E40" s="2" t="s">
        <v>1724</v>
      </c>
      <c r="F40" s="55"/>
      <c r="G40" s="48"/>
      <c r="H40" s="64"/>
    </row>
    <row r="41" spans="1:10" ht="37.5" x14ac:dyDescent="0.3">
      <c r="A41" s="10" t="s">
        <v>113</v>
      </c>
      <c r="B41" s="200" t="s">
        <v>144</v>
      </c>
      <c r="C41" s="2" t="s">
        <v>144</v>
      </c>
      <c r="D41" s="200" t="s">
        <v>144</v>
      </c>
      <c r="E41" s="11" t="s">
        <v>114</v>
      </c>
      <c r="F41" s="55"/>
      <c r="G41" s="48"/>
      <c r="H41" s="64"/>
    </row>
    <row r="42" spans="1:10" ht="62.5" x14ac:dyDescent="0.3">
      <c r="A42" s="16" t="s">
        <v>2401</v>
      </c>
      <c r="B42" s="200" t="s">
        <v>144</v>
      </c>
      <c r="C42" s="2" t="s">
        <v>144</v>
      </c>
      <c r="D42" s="200" t="s">
        <v>144</v>
      </c>
      <c r="E42" s="127" t="s">
        <v>2567</v>
      </c>
      <c r="F42" s="55"/>
      <c r="G42" s="48"/>
      <c r="H42" s="64"/>
    </row>
    <row r="43" spans="1:10" s="46" customFormat="1" x14ac:dyDescent="0.3">
      <c r="A43" s="137" t="s">
        <v>699</v>
      </c>
      <c r="B43" s="200" t="s">
        <v>144</v>
      </c>
      <c r="C43" s="2" t="s">
        <v>144</v>
      </c>
      <c r="D43" s="200" t="s">
        <v>144</v>
      </c>
      <c r="E43" s="36"/>
      <c r="F43" s="55"/>
      <c r="G43" s="48"/>
      <c r="H43" s="64"/>
      <c r="I43" s="60"/>
      <c r="J43" s="60"/>
    </row>
    <row r="44" spans="1:10" ht="25" x14ac:dyDescent="0.3">
      <c r="A44" s="16" t="s">
        <v>1465</v>
      </c>
      <c r="B44" s="200" t="s">
        <v>144</v>
      </c>
      <c r="C44" s="2" t="s">
        <v>144</v>
      </c>
      <c r="D44" s="200" t="s">
        <v>144</v>
      </c>
      <c r="E44" s="11" t="s">
        <v>700</v>
      </c>
      <c r="F44" s="55"/>
      <c r="G44" s="48"/>
      <c r="H44" s="64"/>
    </row>
    <row r="45" spans="1:10" ht="37.5" x14ac:dyDescent="0.3">
      <c r="A45" s="16" t="s">
        <v>1466</v>
      </c>
      <c r="B45" s="200" t="s">
        <v>144</v>
      </c>
      <c r="C45" s="2" t="s">
        <v>144</v>
      </c>
      <c r="D45" s="200" t="s">
        <v>144</v>
      </c>
      <c r="E45" s="2" t="s">
        <v>1467</v>
      </c>
      <c r="F45" s="55"/>
      <c r="G45" s="48"/>
      <c r="H45" s="64"/>
    </row>
    <row r="46" spans="1:10" x14ac:dyDescent="0.3">
      <c r="A46" s="16" t="s">
        <v>1665</v>
      </c>
      <c r="B46" s="200" t="s">
        <v>646</v>
      </c>
      <c r="C46" s="2" t="s">
        <v>646</v>
      </c>
      <c r="D46" s="200" t="s">
        <v>646</v>
      </c>
      <c r="E46" s="11"/>
      <c r="F46" s="55"/>
      <c r="G46" s="48"/>
      <c r="H46" s="64"/>
    </row>
    <row r="47" spans="1:10" ht="42.75" customHeight="1" x14ac:dyDescent="0.3">
      <c r="A47" s="24" t="s">
        <v>1792</v>
      </c>
      <c r="B47" s="200" t="s">
        <v>646</v>
      </c>
      <c r="C47" s="2" t="s">
        <v>646</v>
      </c>
      <c r="D47" s="200" t="s">
        <v>646</v>
      </c>
      <c r="E47" s="11" t="s">
        <v>639</v>
      </c>
      <c r="F47" s="55"/>
      <c r="G47" s="48"/>
      <c r="H47" s="64"/>
    </row>
    <row r="48" spans="1:10" ht="50" x14ac:dyDescent="0.3">
      <c r="A48" s="24" t="s">
        <v>1822</v>
      </c>
      <c r="B48" s="200" t="s">
        <v>646</v>
      </c>
      <c r="C48" s="2" t="s">
        <v>646</v>
      </c>
      <c r="D48" s="200" t="s">
        <v>646</v>
      </c>
      <c r="E48" s="16" t="s">
        <v>1823</v>
      </c>
      <c r="F48" s="55"/>
      <c r="G48" s="48"/>
      <c r="H48" s="64"/>
    </row>
    <row r="49" spans="1:8" ht="25.5" x14ac:dyDescent="0.3">
      <c r="A49" s="79" t="s">
        <v>1468</v>
      </c>
      <c r="B49" s="200" t="s">
        <v>144</v>
      </c>
      <c r="C49" s="2" t="s">
        <v>144</v>
      </c>
      <c r="D49" s="200" t="s">
        <v>144</v>
      </c>
      <c r="E49" s="11" t="s">
        <v>701</v>
      </c>
      <c r="F49" s="55"/>
      <c r="G49" s="39"/>
      <c r="H49" s="64"/>
    </row>
    <row r="50" spans="1:8" x14ac:dyDescent="0.3">
      <c r="A50" s="79" t="s">
        <v>1725</v>
      </c>
      <c r="B50" s="200" t="s">
        <v>144</v>
      </c>
      <c r="C50" s="2" t="s">
        <v>144</v>
      </c>
      <c r="D50" s="200" t="s">
        <v>144</v>
      </c>
      <c r="E50" s="11" t="s">
        <v>702</v>
      </c>
      <c r="F50" s="55"/>
      <c r="G50" s="39"/>
      <c r="H50" s="64"/>
    </row>
    <row r="51" spans="1:8" ht="25" x14ac:dyDescent="0.3">
      <c r="A51" s="16" t="s">
        <v>1469</v>
      </c>
      <c r="B51" s="200" t="s">
        <v>144</v>
      </c>
      <c r="C51" s="2" t="s">
        <v>144</v>
      </c>
      <c r="D51" s="200" t="s">
        <v>144</v>
      </c>
      <c r="E51" s="11" t="s">
        <v>703</v>
      </c>
      <c r="F51" s="55"/>
      <c r="G51" s="39"/>
      <c r="H51" s="64"/>
    </row>
    <row r="52" spans="1:8" ht="25" x14ac:dyDescent="0.3">
      <c r="A52" s="16" t="s">
        <v>1824</v>
      </c>
      <c r="B52" s="200" t="s">
        <v>144</v>
      </c>
      <c r="C52" s="2" t="s">
        <v>144</v>
      </c>
      <c r="D52" s="200" t="s">
        <v>144</v>
      </c>
      <c r="E52" s="2" t="s">
        <v>1470</v>
      </c>
      <c r="F52" s="55"/>
      <c r="G52" s="48"/>
      <c r="H52" s="64"/>
    </row>
    <row r="53" spans="1:8" ht="25" x14ac:dyDescent="0.3">
      <c r="A53" s="16" t="s">
        <v>1445</v>
      </c>
      <c r="B53" s="200" t="s">
        <v>144</v>
      </c>
      <c r="C53" s="2" t="s">
        <v>144</v>
      </c>
      <c r="D53" s="200" t="s">
        <v>144</v>
      </c>
      <c r="E53" s="2" t="s">
        <v>856</v>
      </c>
      <c r="F53" s="55"/>
      <c r="G53" s="39"/>
      <c r="H53" s="64"/>
    </row>
    <row r="54" spans="1:8" ht="62.5" x14ac:dyDescent="0.3">
      <c r="A54" s="22" t="s">
        <v>2665</v>
      </c>
      <c r="B54" s="200" t="s">
        <v>144</v>
      </c>
      <c r="C54" s="2" t="s">
        <v>144</v>
      </c>
      <c r="D54" s="200" t="s">
        <v>144</v>
      </c>
      <c r="E54" s="11" t="s">
        <v>704</v>
      </c>
      <c r="F54" s="55"/>
      <c r="G54" s="39"/>
      <c r="H54" s="64"/>
    </row>
    <row r="55" spans="1:8" ht="50" x14ac:dyDescent="0.3">
      <c r="A55" s="24" t="s">
        <v>2883</v>
      </c>
      <c r="B55" s="200" t="s">
        <v>144</v>
      </c>
      <c r="C55" s="2" t="s">
        <v>144</v>
      </c>
      <c r="D55" s="200" t="s">
        <v>144</v>
      </c>
      <c r="E55" s="11"/>
      <c r="F55" s="55"/>
      <c r="G55" s="39" t="s">
        <v>1856</v>
      </c>
      <c r="H55" s="64"/>
    </row>
    <row r="56" spans="1:8" ht="25" customHeight="1" x14ac:dyDescent="0.3">
      <c r="A56" s="79" t="s">
        <v>2884</v>
      </c>
      <c r="B56" s="200" t="s">
        <v>144</v>
      </c>
      <c r="C56" s="2" t="s">
        <v>144</v>
      </c>
      <c r="D56" s="200" t="s">
        <v>144</v>
      </c>
      <c r="E56" s="11"/>
      <c r="F56" s="55"/>
      <c r="G56" s="39" t="s">
        <v>1856</v>
      </c>
      <c r="H56" s="64"/>
    </row>
    <row r="57" spans="1:8" ht="38" x14ac:dyDescent="0.3">
      <c r="A57" s="79" t="s">
        <v>2885</v>
      </c>
      <c r="B57" s="200" t="s">
        <v>800</v>
      </c>
      <c r="C57" s="2" t="s">
        <v>800</v>
      </c>
      <c r="D57" s="200"/>
      <c r="E57" s="11"/>
      <c r="F57" s="55"/>
      <c r="G57" s="39" t="s">
        <v>993</v>
      </c>
      <c r="H57" s="64"/>
    </row>
    <row r="58" spans="1:8" x14ac:dyDescent="0.3">
      <c r="A58" s="10" t="s">
        <v>547</v>
      </c>
      <c r="B58" s="200" t="s">
        <v>646</v>
      </c>
      <c r="C58" s="2" t="s">
        <v>646</v>
      </c>
      <c r="D58" s="200" t="s">
        <v>646</v>
      </c>
      <c r="E58" s="11"/>
      <c r="F58" s="55"/>
      <c r="G58" s="39"/>
      <c r="H58" s="64"/>
    </row>
    <row r="59" spans="1:8" x14ac:dyDescent="0.3">
      <c r="A59" s="10" t="s">
        <v>705</v>
      </c>
      <c r="B59" s="200" t="s">
        <v>646</v>
      </c>
      <c r="C59" s="2" t="s">
        <v>646</v>
      </c>
      <c r="D59" s="200" t="s">
        <v>646</v>
      </c>
      <c r="E59" s="11" t="s">
        <v>706</v>
      </c>
      <c r="F59" s="55"/>
      <c r="G59" s="39"/>
      <c r="H59" s="64"/>
    </row>
    <row r="60" spans="1:8" x14ac:dyDescent="0.3">
      <c r="A60" s="10" t="s">
        <v>794</v>
      </c>
      <c r="B60" s="200" t="s">
        <v>646</v>
      </c>
      <c r="C60" s="2" t="s">
        <v>646</v>
      </c>
      <c r="D60" s="200"/>
      <c r="E60" s="11"/>
      <c r="F60" s="55"/>
      <c r="G60" s="39"/>
      <c r="H60" s="64"/>
    </row>
    <row r="61" spans="1:8" x14ac:dyDescent="0.3">
      <c r="A61" s="16" t="s">
        <v>1155</v>
      </c>
      <c r="B61" s="200" t="s">
        <v>646</v>
      </c>
      <c r="C61" s="2" t="s">
        <v>646</v>
      </c>
      <c r="D61" s="200"/>
      <c r="E61" s="11"/>
      <c r="F61" s="55"/>
      <c r="G61" s="39"/>
      <c r="H61" s="64"/>
    </row>
    <row r="62" spans="1:8" x14ac:dyDescent="0.3">
      <c r="A62" s="16" t="s">
        <v>1156</v>
      </c>
      <c r="B62" s="200" t="s">
        <v>646</v>
      </c>
      <c r="C62" s="2" t="s">
        <v>646</v>
      </c>
      <c r="D62" s="200"/>
      <c r="E62" s="11"/>
      <c r="F62" s="55"/>
      <c r="G62" s="39"/>
      <c r="H62" s="64"/>
    </row>
    <row r="63" spans="1:8" x14ac:dyDescent="0.3">
      <c r="A63" s="16" t="s">
        <v>1157</v>
      </c>
      <c r="B63" s="200" t="s">
        <v>646</v>
      </c>
      <c r="C63" s="2" t="s">
        <v>646</v>
      </c>
      <c r="D63" s="200"/>
      <c r="E63" s="11"/>
      <c r="F63" s="55"/>
      <c r="G63" s="39"/>
      <c r="H63" s="64"/>
    </row>
    <row r="64" spans="1:8" ht="25" x14ac:dyDescent="0.3">
      <c r="A64" s="16" t="s">
        <v>1158</v>
      </c>
      <c r="B64" s="200" t="s">
        <v>646</v>
      </c>
      <c r="C64" s="2" t="s">
        <v>646</v>
      </c>
      <c r="D64" s="200"/>
      <c r="E64" s="11"/>
      <c r="F64" s="55"/>
      <c r="G64" s="39"/>
      <c r="H64" s="64"/>
    </row>
    <row r="65" spans="1:10" x14ac:dyDescent="0.3">
      <c r="A65" s="16" t="s">
        <v>1159</v>
      </c>
      <c r="B65" s="200" t="s">
        <v>646</v>
      </c>
      <c r="C65" s="2" t="s">
        <v>843</v>
      </c>
      <c r="D65" s="200"/>
      <c r="E65" s="11"/>
      <c r="F65" s="55"/>
      <c r="G65" s="39"/>
      <c r="H65" s="64"/>
    </row>
    <row r="66" spans="1:10" x14ac:dyDescent="0.3">
      <c r="A66" s="10" t="s">
        <v>129</v>
      </c>
      <c r="B66" s="200" t="s">
        <v>646</v>
      </c>
      <c r="C66" s="2" t="s">
        <v>843</v>
      </c>
      <c r="D66" s="200"/>
      <c r="E66" s="11"/>
      <c r="F66" s="55"/>
      <c r="G66" s="39"/>
      <c r="H66" s="64"/>
    </row>
    <row r="67" spans="1:10" ht="25" x14ac:dyDescent="0.3">
      <c r="A67" s="10" t="s">
        <v>795</v>
      </c>
      <c r="B67" s="200" t="s">
        <v>646</v>
      </c>
      <c r="C67" s="2" t="s">
        <v>646</v>
      </c>
      <c r="D67" s="200"/>
      <c r="E67" s="11" t="s">
        <v>21</v>
      </c>
      <c r="F67" s="55"/>
      <c r="G67" s="39"/>
      <c r="H67" s="64"/>
    </row>
    <row r="68" spans="1:10" x14ac:dyDescent="0.3">
      <c r="A68" s="10" t="s">
        <v>22</v>
      </c>
      <c r="B68" s="200" t="s">
        <v>646</v>
      </c>
      <c r="C68" s="2" t="s">
        <v>843</v>
      </c>
      <c r="D68" s="200"/>
      <c r="E68" s="11" t="s">
        <v>23</v>
      </c>
      <c r="F68" s="55"/>
      <c r="G68" s="39"/>
      <c r="H68" s="64"/>
    </row>
    <row r="69" spans="1:10" x14ac:dyDescent="0.3">
      <c r="A69" s="79" t="s">
        <v>1116</v>
      </c>
      <c r="B69" s="200" t="s">
        <v>646</v>
      </c>
      <c r="C69" s="2" t="s">
        <v>843</v>
      </c>
      <c r="D69" s="200"/>
      <c r="E69" s="11"/>
      <c r="F69" s="55"/>
      <c r="G69" s="39"/>
      <c r="H69" s="64"/>
    </row>
    <row r="70" spans="1:10" x14ac:dyDescent="0.3">
      <c r="A70" s="79" t="s">
        <v>1160</v>
      </c>
      <c r="B70" s="200" t="s">
        <v>646</v>
      </c>
      <c r="C70" s="2" t="s">
        <v>843</v>
      </c>
      <c r="D70" s="200"/>
      <c r="E70" s="11"/>
      <c r="F70" s="55"/>
      <c r="G70" s="39"/>
      <c r="H70" s="64"/>
    </row>
    <row r="71" spans="1:10" x14ac:dyDescent="0.3">
      <c r="A71" s="79" t="s">
        <v>1161</v>
      </c>
      <c r="B71" s="200" t="s">
        <v>646</v>
      </c>
      <c r="C71" s="2" t="s">
        <v>843</v>
      </c>
      <c r="D71" s="200"/>
      <c r="E71" s="11"/>
      <c r="F71" s="55"/>
      <c r="G71" s="39"/>
      <c r="H71" s="64"/>
    </row>
    <row r="72" spans="1:10" x14ac:dyDescent="0.3">
      <c r="A72" s="79" t="s">
        <v>1162</v>
      </c>
      <c r="B72" s="200" t="s">
        <v>646</v>
      </c>
      <c r="C72" s="2" t="s">
        <v>843</v>
      </c>
      <c r="D72" s="200"/>
      <c r="E72" s="11"/>
      <c r="F72" s="55"/>
      <c r="G72" s="39"/>
      <c r="H72" s="64"/>
    </row>
    <row r="73" spans="1:10" x14ac:dyDescent="0.3">
      <c r="A73" s="79" t="s">
        <v>660</v>
      </c>
      <c r="B73" s="200" t="s">
        <v>646</v>
      </c>
      <c r="C73" s="2" t="s">
        <v>843</v>
      </c>
      <c r="D73" s="200"/>
      <c r="E73" s="11"/>
      <c r="F73" s="55"/>
      <c r="G73" s="39"/>
      <c r="H73" s="64"/>
    </row>
    <row r="74" spans="1:10" x14ac:dyDescent="0.3">
      <c r="A74" s="16" t="s">
        <v>2616</v>
      </c>
      <c r="B74" s="200" t="s">
        <v>646</v>
      </c>
      <c r="C74" s="2" t="s">
        <v>646</v>
      </c>
      <c r="D74" s="200" t="s">
        <v>646</v>
      </c>
      <c r="F74" s="55"/>
      <c r="G74" s="39"/>
      <c r="H74" s="64"/>
      <c r="J74" s="6"/>
    </row>
    <row r="75" spans="1:10" x14ac:dyDescent="0.3">
      <c r="A75" s="79" t="s">
        <v>2666</v>
      </c>
      <c r="B75" s="200" t="s">
        <v>646</v>
      </c>
      <c r="C75" s="2" t="s">
        <v>646</v>
      </c>
      <c r="D75" s="200" t="s">
        <v>646</v>
      </c>
      <c r="E75" s="2" t="s">
        <v>2667</v>
      </c>
      <c r="F75" s="55"/>
      <c r="G75" s="39"/>
      <c r="H75" s="64"/>
    </row>
    <row r="76" spans="1:10" x14ac:dyDescent="0.3">
      <c r="A76" s="79" t="s">
        <v>2668</v>
      </c>
      <c r="B76" s="200" t="s">
        <v>646</v>
      </c>
      <c r="C76" s="2" t="s">
        <v>843</v>
      </c>
      <c r="D76" s="200"/>
      <c r="E76" s="2" t="s">
        <v>2669</v>
      </c>
      <c r="F76" s="55"/>
      <c r="G76" s="39"/>
      <c r="H76" s="64"/>
    </row>
    <row r="77" spans="1:10" x14ac:dyDescent="0.3">
      <c r="A77" s="16" t="s">
        <v>2045</v>
      </c>
      <c r="B77" s="200" t="s">
        <v>646</v>
      </c>
      <c r="C77" s="2" t="s">
        <v>646</v>
      </c>
      <c r="D77" s="200" t="s">
        <v>646</v>
      </c>
      <c r="E77" s="11" t="s">
        <v>846</v>
      </c>
      <c r="F77" s="55"/>
      <c r="G77" s="39"/>
      <c r="H77" s="64"/>
    </row>
    <row r="78" spans="1:10" ht="25" x14ac:dyDescent="0.3">
      <c r="A78" s="10" t="s">
        <v>2046</v>
      </c>
      <c r="B78" s="200" t="s">
        <v>646</v>
      </c>
      <c r="C78" s="2" t="s">
        <v>646</v>
      </c>
      <c r="D78" s="200" t="s">
        <v>646</v>
      </c>
      <c r="E78" s="11" t="s">
        <v>108</v>
      </c>
      <c r="F78" s="55"/>
      <c r="G78" s="39"/>
      <c r="H78" s="64"/>
    </row>
    <row r="79" spans="1:10" ht="75" x14ac:dyDescent="0.3">
      <c r="A79" s="16" t="s">
        <v>2345</v>
      </c>
      <c r="B79" s="200" t="s">
        <v>646</v>
      </c>
      <c r="C79" s="2" t="s">
        <v>646</v>
      </c>
      <c r="D79" s="200"/>
      <c r="E79" s="11" t="s">
        <v>2047</v>
      </c>
      <c r="F79" s="55"/>
      <c r="G79" s="39"/>
      <c r="H79" s="64"/>
    </row>
    <row r="80" spans="1:10" x14ac:dyDescent="0.3">
      <c r="A80" s="10" t="s">
        <v>756</v>
      </c>
      <c r="B80" s="200" t="s">
        <v>646</v>
      </c>
      <c r="C80" s="2" t="s">
        <v>646</v>
      </c>
      <c r="D80" s="200" t="s">
        <v>646</v>
      </c>
      <c r="E80" s="11"/>
      <c r="F80" s="55"/>
      <c r="G80" s="39"/>
      <c r="H80" s="64"/>
    </row>
    <row r="81" spans="1:8" ht="25" x14ac:dyDescent="0.3">
      <c r="A81" s="79" t="s">
        <v>1163</v>
      </c>
      <c r="B81" s="200" t="s">
        <v>646</v>
      </c>
      <c r="C81" s="2" t="s">
        <v>843</v>
      </c>
      <c r="D81" s="200"/>
      <c r="E81" s="11" t="s">
        <v>757</v>
      </c>
      <c r="F81" s="55"/>
      <c r="G81" s="39"/>
      <c r="H81" s="64"/>
    </row>
    <row r="82" spans="1:8" ht="37.5" x14ac:dyDescent="0.3">
      <c r="A82" s="79" t="s">
        <v>1825</v>
      </c>
      <c r="B82" s="200" t="s">
        <v>646</v>
      </c>
      <c r="C82" s="2" t="s">
        <v>646</v>
      </c>
      <c r="D82" s="200"/>
      <c r="E82" s="11" t="s">
        <v>31</v>
      </c>
      <c r="F82" s="55"/>
      <c r="G82" s="48"/>
      <c r="H82" s="64"/>
    </row>
    <row r="83" spans="1:8" x14ac:dyDescent="0.3">
      <c r="A83" s="79" t="s">
        <v>2048</v>
      </c>
      <c r="B83" s="200" t="s">
        <v>646</v>
      </c>
      <c r="C83" s="2" t="s">
        <v>646</v>
      </c>
      <c r="D83" s="200" t="s">
        <v>646</v>
      </c>
      <c r="E83" s="16" t="s">
        <v>2568</v>
      </c>
      <c r="F83" s="55"/>
      <c r="G83" s="48"/>
      <c r="H83" s="64"/>
    </row>
    <row r="84" spans="1:8" ht="25" x14ac:dyDescent="0.3">
      <c r="A84" s="79" t="s">
        <v>2049</v>
      </c>
      <c r="B84" s="200" t="s">
        <v>646</v>
      </c>
      <c r="C84" s="2" t="s">
        <v>646</v>
      </c>
      <c r="D84" s="200" t="s">
        <v>646</v>
      </c>
      <c r="E84" s="16" t="s">
        <v>1712</v>
      </c>
      <c r="F84" s="55"/>
      <c r="G84" s="48"/>
      <c r="H84" s="64"/>
    </row>
    <row r="85" spans="1:8" ht="25" x14ac:dyDescent="0.3">
      <c r="A85" s="79" t="s">
        <v>1826</v>
      </c>
      <c r="B85" s="200" t="s">
        <v>646</v>
      </c>
      <c r="C85" s="2" t="s">
        <v>646</v>
      </c>
      <c r="D85" s="200" t="s">
        <v>646</v>
      </c>
      <c r="E85" s="2" t="s">
        <v>33</v>
      </c>
      <c r="F85" s="55"/>
      <c r="G85" s="48"/>
      <c r="H85" s="64"/>
    </row>
    <row r="86" spans="1:8" ht="37.5" x14ac:dyDescent="0.3">
      <c r="A86" s="79" t="s">
        <v>2976</v>
      </c>
      <c r="B86" s="200" t="s">
        <v>646</v>
      </c>
      <c r="C86" s="2" t="s">
        <v>646</v>
      </c>
      <c r="D86" s="200"/>
      <c r="E86" s="2" t="s">
        <v>1827</v>
      </c>
      <c r="F86" s="55"/>
      <c r="G86" s="48" t="s">
        <v>1856</v>
      </c>
      <c r="H86" s="64"/>
    </row>
    <row r="87" spans="1:8" x14ac:dyDescent="0.3">
      <c r="A87" s="79" t="s">
        <v>1828</v>
      </c>
      <c r="B87" s="200" t="s">
        <v>646</v>
      </c>
      <c r="C87" s="2" t="s">
        <v>646</v>
      </c>
      <c r="D87" s="200"/>
      <c r="E87" s="2"/>
      <c r="F87" s="55"/>
      <c r="G87" s="48"/>
      <c r="H87" s="64"/>
    </row>
    <row r="88" spans="1:8" ht="25" x14ac:dyDescent="0.3">
      <c r="A88" s="79" t="s">
        <v>1829</v>
      </c>
      <c r="B88" s="200" t="s">
        <v>646</v>
      </c>
      <c r="C88" s="2" t="s">
        <v>646</v>
      </c>
      <c r="D88" s="200"/>
      <c r="E88" s="2"/>
      <c r="F88" s="55"/>
      <c r="G88" s="48"/>
      <c r="H88" s="64"/>
    </row>
    <row r="89" spans="1:8" ht="25" x14ac:dyDescent="0.3">
      <c r="A89" s="79" t="s">
        <v>1830</v>
      </c>
      <c r="B89" s="200" t="s">
        <v>646</v>
      </c>
      <c r="C89" s="2" t="s">
        <v>646</v>
      </c>
      <c r="D89" s="200"/>
      <c r="E89" s="2"/>
      <c r="F89" s="55"/>
      <c r="G89" s="48"/>
      <c r="H89" s="64"/>
    </row>
    <row r="90" spans="1:8" ht="25" x14ac:dyDescent="0.3">
      <c r="A90" s="79" t="s">
        <v>1831</v>
      </c>
      <c r="B90" s="200" t="s">
        <v>646</v>
      </c>
      <c r="C90" s="2" t="s">
        <v>646</v>
      </c>
      <c r="D90" s="200"/>
      <c r="E90" s="2"/>
      <c r="F90" s="55"/>
      <c r="G90" s="48"/>
      <c r="H90" s="64"/>
    </row>
    <row r="91" spans="1:8" x14ac:dyDescent="0.3">
      <c r="A91" s="79" t="s">
        <v>1832</v>
      </c>
      <c r="B91" s="200" t="s">
        <v>646</v>
      </c>
      <c r="C91" s="2" t="s">
        <v>646</v>
      </c>
      <c r="D91" s="200"/>
      <c r="E91" s="11"/>
      <c r="F91" s="55"/>
      <c r="G91" s="39"/>
      <c r="H91" s="64"/>
    </row>
    <row r="92" spans="1:8" x14ac:dyDescent="0.3">
      <c r="A92" s="79" t="s">
        <v>1164</v>
      </c>
      <c r="B92" s="200" t="s">
        <v>646</v>
      </c>
      <c r="C92" s="2" t="s">
        <v>646</v>
      </c>
      <c r="D92" s="200"/>
      <c r="E92" s="11" t="s">
        <v>32</v>
      </c>
      <c r="F92" s="55"/>
      <c r="G92" s="39"/>
      <c r="H92" s="64"/>
    </row>
    <row r="93" spans="1:8" x14ac:dyDescent="0.3">
      <c r="A93" s="79" t="s">
        <v>1165</v>
      </c>
      <c r="B93" s="200" t="s">
        <v>646</v>
      </c>
      <c r="C93" s="2" t="s">
        <v>646</v>
      </c>
      <c r="D93" s="200"/>
      <c r="E93" s="11" t="s">
        <v>32</v>
      </c>
      <c r="F93" s="55"/>
      <c r="G93" s="39"/>
      <c r="H93" s="64"/>
    </row>
    <row r="94" spans="1:8" x14ac:dyDescent="0.3">
      <c r="A94" s="10" t="s">
        <v>599</v>
      </c>
      <c r="B94" s="200" t="s">
        <v>145</v>
      </c>
      <c r="C94" s="2" t="s">
        <v>145</v>
      </c>
      <c r="D94" s="200" t="s">
        <v>145</v>
      </c>
      <c r="E94" s="2" t="s">
        <v>1833</v>
      </c>
      <c r="F94" s="55"/>
      <c r="G94" s="39"/>
      <c r="H94" s="64"/>
    </row>
    <row r="95" spans="1:8" ht="50" x14ac:dyDescent="0.3">
      <c r="A95" s="16" t="s">
        <v>2050</v>
      </c>
      <c r="B95" s="200" t="s">
        <v>145</v>
      </c>
      <c r="C95" s="2" t="s">
        <v>145</v>
      </c>
      <c r="D95" s="200" t="s">
        <v>145</v>
      </c>
      <c r="E95" s="11"/>
      <c r="F95" s="55"/>
      <c r="G95" s="39"/>
      <c r="H95" s="64"/>
    </row>
    <row r="96" spans="1:8" ht="37.5" x14ac:dyDescent="0.3">
      <c r="A96" s="16" t="s">
        <v>2051</v>
      </c>
      <c r="B96" s="200" t="s">
        <v>145</v>
      </c>
      <c r="C96" s="2" t="s">
        <v>145</v>
      </c>
      <c r="D96" s="200" t="s">
        <v>145</v>
      </c>
      <c r="E96" s="11"/>
      <c r="F96" s="55"/>
      <c r="G96" s="39"/>
      <c r="H96" s="64"/>
    </row>
    <row r="97" spans="1:8" ht="100" x14ac:dyDescent="0.3">
      <c r="A97" s="16" t="s">
        <v>2886</v>
      </c>
      <c r="B97" s="200" t="s">
        <v>145</v>
      </c>
      <c r="C97" s="2" t="s">
        <v>145</v>
      </c>
      <c r="D97" s="200" t="s">
        <v>145</v>
      </c>
      <c r="E97" s="11"/>
      <c r="F97" s="55"/>
      <c r="G97" s="48"/>
      <c r="H97" s="64"/>
    </row>
    <row r="98" spans="1:8" ht="25" x14ac:dyDescent="0.3">
      <c r="A98" s="16" t="s">
        <v>1834</v>
      </c>
      <c r="B98" s="200" t="s">
        <v>145</v>
      </c>
      <c r="C98" s="2" t="s">
        <v>145</v>
      </c>
      <c r="D98" s="200" t="s">
        <v>145</v>
      </c>
      <c r="E98" s="11"/>
      <c r="F98" s="55"/>
      <c r="G98" s="48"/>
      <c r="H98" s="64"/>
    </row>
    <row r="99" spans="1:8" x14ac:dyDescent="0.3">
      <c r="A99" s="16" t="s">
        <v>1835</v>
      </c>
      <c r="B99" s="200" t="s">
        <v>145</v>
      </c>
      <c r="C99" s="2" t="s">
        <v>145</v>
      </c>
      <c r="D99" s="200" t="s">
        <v>145</v>
      </c>
      <c r="E99" s="11"/>
      <c r="F99" s="55"/>
      <c r="G99" s="48"/>
      <c r="H99" s="64"/>
    </row>
    <row r="100" spans="1:8" ht="112.5" x14ac:dyDescent="0.3">
      <c r="A100" s="16" t="s">
        <v>1836</v>
      </c>
      <c r="B100" s="200" t="s">
        <v>145</v>
      </c>
      <c r="C100" s="2" t="s">
        <v>145</v>
      </c>
      <c r="D100" s="200" t="s">
        <v>145</v>
      </c>
      <c r="E100" s="11"/>
      <c r="F100" s="55"/>
      <c r="G100" s="48"/>
      <c r="H100" s="64"/>
    </row>
    <row r="101" spans="1:8" ht="37.5" x14ac:dyDescent="0.3">
      <c r="A101" s="16" t="s">
        <v>1837</v>
      </c>
      <c r="B101" s="200" t="s">
        <v>145</v>
      </c>
      <c r="C101" s="2" t="s">
        <v>145</v>
      </c>
      <c r="D101" s="200" t="s">
        <v>145</v>
      </c>
      <c r="E101" s="11"/>
      <c r="F101" s="55"/>
      <c r="G101" s="48"/>
      <c r="H101" s="64"/>
    </row>
    <row r="102" spans="1:8" x14ac:dyDescent="0.3">
      <c r="A102" s="85" t="s">
        <v>1838</v>
      </c>
      <c r="B102" s="200" t="s">
        <v>145</v>
      </c>
      <c r="C102" s="2" t="s">
        <v>145</v>
      </c>
      <c r="D102" s="200" t="s">
        <v>145</v>
      </c>
      <c r="E102" s="2" t="s">
        <v>1839</v>
      </c>
      <c r="F102" s="55"/>
      <c r="G102" s="48"/>
      <c r="H102" s="64"/>
    </row>
    <row r="103" spans="1:8" ht="50" x14ac:dyDescent="0.3">
      <c r="A103" s="16" t="s">
        <v>2670</v>
      </c>
      <c r="B103" s="200" t="s">
        <v>145</v>
      </c>
      <c r="C103" s="2" t="s">
        <v>145</v>
      </c>
      <c r="D103" s="200" t="s">
        <v>145</v>
      </c>
      <c r="E103" s="11"/>
      <c r="F103" s="55"/>
      <c r="G103" s="39"/>
      <c r="H103" s="64"/>
    </row>
    <row r="104" spans="1:8" x14ac:dyDescent="0.3">
      <c r="A104" s="85" t="s">
        <v>2374</v>
      </c>
      <c r="B104" s="200" t="s">
        <v>145</v>
      </c>
      <c r="C104" s="2" t="s">
        <v>145</v>
      </c>
      <c r="D104" s="200" t="s">
        <v>145</v>
      </c>
      <c r="E104" s="2" t="s">
        <v>2375</v>
      </c>
      <c r="F104" s="55"/>
      <c r="G104" s="48"/>
      <c r="H104" s="64"/>
    </row>
    <row r="105" spans="1:8" ht="64" customHeight="1" x14ac:dyDescent="0.3">
      <c r="A105" s="16" t="s">
        <v>2887</v>
      </c>
      <c r="B105" s="200" t="s">
        <v>145</v>
      </c>
      <c r="C105" s="2" t="s">
        <v>145</v>
      </c>
      <c r="D105" s="200" t="s">
        <v>145</v>
      </c>
      <c r="E105" s="11"/>
      <c r="F105" s="55"/>
      <c r="G105" s="48" t="s">
        <v>1856</v>
      </c>
      <c r="H105" s="64"/>
    </row>
    <row r="106" spans="1:8" x14ac:dyDescent="0.3">
      <c r="A106" s="85" t="s">
        <v>2052</v>
      </c>
      <c r="B106" s="200" t="s">
        <v>145</v>
      </c>
      <c r="C106" s="2" t="s">
        <v>145</v>
      </c>
      <c r="D106" s="200" t="s">
        <v>145</v>
      </c>
      <c r="E106" s="11" t="s">
        <v>2053</v>
      </c>
      <c r="F106" s="55"/>
      <c r="G106" s="48"/>
      <c r="H106" s="64"/>
    </row>
    <row r="107" spans="1:8" ht="150" x14ac:dyDescent="0.3">
      <c r="A107" s="16" t="s">
        <v>2316</v>
      </c>
      <c r="B107" s="200" t="s">
        <v>145</v>
      </c>
      <c r="C107" s="2" t="s">
        <v>145</v>
      </c>
      <c r="D107" s="200" t="s">
        <v>145</v>
      </c>
      <c r="E107" s="11"/>
      <c r="F107" s="55"/>
      <c r="G107" s="48"/>
      <c r="H107" s="64"/>
    </row>
    <row r="108" spans="1:8" x14ac:dyDescent="0.3">
      <c r="A108" s="85" t="s">
        <v>2671</v>
      </c>
      <c r="B108" s="200" t="s">
        <v>145</v>
      </c>
      <c r="C108" s="2" t="s">
        <v>145</v>
      </c>
      <c r="D108" s="200" t="s">
        <v>145</v>
      </c>
      <c r="E108" s="2" t="s">
        <v>2672</v>
      </c>
      <c r="F108" s="55"/>
      <c r="G108" s="48"/>
      <c r="H108" s="64"/>
    </row>
    <row r="109" spans="1:8" ht="37.5" x14ac:dyDescent="0.3">
      <c r="A109" s="16" t="s">
        <v>2673</v>
      </c>
      <c r="B109" s="200" t="s">
        <v>145</v>
      </c>
      <c r="C109" s="2" t="s">
        <v>145</v>
      </c>
      <c r="D109" s="200" t="s">
        <v>145</v>
      </c>
      <c r="E109" s="11"/>
      <c r="F109" s="55"/>
      <c r="G109" s="48"/>
      <c r="H109" s="64"/>
    </row>
    <row r="110" spans="1:8" ht="90" customHeight="1" x14ac:dyDescent="0.3">
      <c r="A110" s="16" t="s">
        <v>2674</v>
      </c>
      <c r="B110" s="200" t="s">
        <v>145</v>
      </c>
      <c r="C110" s="2" t="s">
        <v>145</v>
      </c>
      <c r="D110" s="200" t="s">
        <v>145</v>
      </c>
      <c r="E110" s="11"/>
      <c r="F110" s="55"/>
      <c r="G110" s="48" t="s">
        <v>2912</v>
      </c>
      <c r="H110" s="64"/>
    </row>
    <row r="111" spans="1:8" x14ac:dyDescent="0.3">
      <c r="A111" s="34" t="s">
        <v>840</v>
      </c>
      <c r="B111" s="200" t="s">
        <v>144</v>
      </c>
      <c r="C111" s="2" t="s">
        <v>144</v>
      </c>
      <c r="D111" s="200" t="s">
        <v>144</v>
      </c>
      <c r="E111" s="2" t="s">
        <v>846</v>
      </c>
      <c r="F111" s="55"/>
      <c r="G111" s="64" t="s">
        <v>2911</v>
      </c>
      <c r="H111" s="64"/>
    </row>
    <row r="112" spans="1:8" ht="37.5" x14ac:dyDescent="0.3">
      <c r="A112" s="16" t="s">
        <v>2617</v>
      </c>
      <c r="B112" s="200" t="s">
        <v>144</v>
      </c>
      <c r="C112" s="2" t="s">
        <v>144</v>
      </c>
      <c r="D112" s="200" t="s">
        <v>144</v>
      </c>
      <c r="E112" s="2" t="s">
        <v>2618</v>
      </c>
      <c r="F112" s="55"/>
      <c r="G112" s="64"/>
      <c r="H112" s="64"/>
    </row>
    <row r="113" spans="1:8" x14ac:dyDescent="0.3">
      <c r="A113" s="10" t="s">
        <v>302</v>
      </c>
      <c r="B113" s="200" t="s">
        <v>144</v>
      </c>
      <c r="C113" s="2" t="s">
        <v>144</v>
      </c>
      <c r="D113" s="200" t="s">
        <v>144</v>
      </c>
      <c r="E113" s="11" t="s">
        <v>615</v>
      </c>
      <c r="F113" s="55"/>
      <c r="G113" s="64"/>
      <c r="H113" s="64"/>
    </row>
    <row r="114" spans="1:8" ht="37.5" x14ac:dyDescent="0.3">
      <c r="A114" s="10" t="s">
        <v>958</v>
      </c>
      <c r="B114" s="200" t="s">
        <v>144</v>
      </c>
      <c r="C114" s="2" t="s">
        <v>144</v>
      </c>
      <c r="D114" s="200" t="s">
        <v>144</v>
      </c>
      <c r="E114" s="11"/>
      <c r="F114" s="55"/>
      <c r="G114" s="64"/>
      <c r="H114" s="64"/>
    </row>
    <row r="115" spans="1:8" ht="37.5" x14ac:dyDescent="0.3">
      <c r="A115" s="16" t="s">
        <v>1687</v>
      </c>
      <c r="B115" s="200" t="s">
        <v>144</v>
      </c>
      <c r="C115" s="2" t="s">
        <v>144</v>
      </c>
      <c r="D115" s="200" t="s">
        <v>144</v>
      </c>
      <c r="E115" s="11" t="s">
        <v>1712</v>
      </c>
      <c r="F115" s="55"/>
      <c r="G115" s="64"/>
      <c r="H115" s="64"/>
    </row>
    <row r="116" spans="1:8" ht="25" x14ac:dyDescent="0.3">
      <c r="A116" s="16" t="s">
        <v>2216</v>
      </c>
      <c r="B116" s="200" t="s">
        <v>144</v>
      </c>
      <c r="C116" s="2" t="s">
        <v>144</v>
      </c>
      <c r="D116" s="200" t="s">
        <v>144</v>
      </c>
      <c r="E116" s="11"/>
      <c r="F116" s="55"/>
      <c r="G116" s="64"/>
      <c r="H116" s="64"/>
    </row>
    <row r="117" spans="1:8" ht="25" x14ac:dyDescent="0.3">
      <c r="A117" s="10" t="s">
        <v>150</v>
      </c>
      <c r="B117" s="200" t="s">
        <v>144</v>
      </c>
      <c r="C117" s="2" t="s">
        <v>144</v>
      </c>
      <c r="D117" s="200" t="s">
        <v>144</v>
      </c>
      <c r="E117" s="16" t="s">
        <v>151</v>
      </c>
      <c r="F117" s="55"/>
      <c r="G117" s="64"/>
      <c r="H117" s="64"/>
    </row>
    <row r="118" spans="1:8" x14ac:dyDescent="0.3">
      <c r="A118" s="10" t="s">
        <v>18</v>
      </c>
      <c r="B118" s="200" t="s">
        <v>144</v>
      </c>
      <c r="C118" s="2" t="s">
        <v>144</v>
      </c>
      <c r="D118" s="200" t="s">
        <v>144</v>
      </c>
      <c r="E118" s="11" t="s">
        <v>152</v>
      </c>
      <c r="F118" s="55"/>
      <c r="G118" s="64"/>
      <c r="H118" s="64"/>
    </row>
    <row r="119" spans="1:8" ht="25" x14ac:dyDescent="0.3">
      <c r="A119" s="16" t="s">
        <v>1471</v>
      </c>
      <c r="B119" s="200" t="s">
        <v>144</v>
      </c>
      <c r="C119" s="2" t="s">
        <v>144</v>
      </c>
      <c r="D119" s="200" t="s">
        <v>144</v>
      </c>
      <c r="E119" s="11" t="s">
        <v>665</v>
      </c>
      <c r="F119" s="55"/>
      <c r="G119" s="64"/>
      <c r="H119" s="64"/>
    </row>
    <row r="120" spans="1:8" x14ac:dyDescent="0.3">
      <c r="A120" s="10" t="s">
        <v>547</v>
      </c>
      <c r="B120" s="200" t="s">
        <v>646</v>
      </c>
      <c r="C120" s="2" t="s">
        <v>646</v>
      </c>
      <c r="D120" s="200" t="s">
        <v>646</v>
      </c>
      <c r="E120" s="11" t="s">
        <v>616</v>
      </c>
      <c r="F120" s="55"/>
      <c r="G120" s="64"/>
      <c r="H120" s="64"/>
    </row>
    <row r="121" spans="1:8" ht="37.5" x14ac:dyDescent="0.3">
      <c r="A121" s="16" t="s">
        <v>2054</v>
      </c>
      <c r="B121" s="200" t="s">
        <v>646</v>
      </c>
      <c r="C121" s="2" t="s">
        <v>646</v>
      </c>
      <c r="D121" s="200" t="s">
        <v>646</v>
      </c>
      <c r="E121" s="11" t="s">
        <v>153</v>
      </c>
      <c r="F121" s="55"/>
      <c r="G121" s="64"/>
      <c r="H121" s="64"/>
    </row>
    <row r="122" spans="1:8" x14ac:dyDescent="0.3">
      <c r="A122" s="16" t="s">
        <v>2055</v>
      </c>
      <c r="B122" s="200" t="s">
        <v>646</v>
      </c>
      <c r="C122" s="2" t="s">
        <v>646</v>
      </c>
      <c r="D122" s="200" t="s">
        <v>646</v>
      </c>
      <c r="E122" s="11" t="s">
        <v>2056</v>
      </c>
      <c r="F122" s="55"/>
      <c r="G122" s="64"/>
      <c r="H122" s="64"/>
    </row>
    <row r="123" spans="1:8" x14ac:dyDescent="0.3">
      <c r="A123" s="10" t="s">
        <v>899</v>
      </c>
      <c r="B123" s="200" t="s">
        <v>646</v>
      </c>
      <c r="C123" s="2" t="s">
        <v>646</v>
      </c>
      <c r="D123" s="200"/>
      <c r="E123" s="11" t="s">
        <v>706</v>
      </c>
      <c r="F123" s="55"/>
      <c r="G123" s="64"/>
      <c r="H123" s="64"/>
    </row>
    <row r="124" spans="1:8" x14ac:dyDescent="0.3">
      <c r="A124" s="10" t="s">
        <v>900</v>
      </c>
      <c r="B124" s="200" t="s">
        <v>646</v>
      </c>
      <c r="C124" s="2" t="s">
        <v>646</v>
      </c>
      <c r="D124" s="200" t="s">
        <v>646</v>
      </c>
      <c r="E124" s="11" t="s">
        <v>154</v>
      </c>
      <c r="F124" s="55"/>
      <c r="G124" s="64"/>
      <c r="H124" s="64"/>
    </row>
    <row r="125" spans="1:8" x14ac:dyDescent="0.3">
      <c r="A125" s="79" t="s">
        <v>1166</v>
      </c>
      <c r="B125" s="200" t="s">
        <v>646</v>
      </c>
      <c r="C125" s="2" t="s">
        <v>646</v>
      </c>
      <c r="D125" s="200" t="s">
        <v>646</v>
      </c>
      <c r="E125" s="11"/>
      <c r="F125" s="55"/>
      <c r="G125" s="64"/>
      <c r="H125" s="64"/>
    </row>
    <row r="126" spans="1:8" x14ac:dyDescent="0.3">
      <c r="A126" s="79" t="s">
        <v>1167</v>
      </c>
      <c r="B126" s="200" t="s">
        <v>646</v>
      </c>
      <c r="C126" s="2" t="s">
        <v>646</v>
      </c>
      <c r="D126" s="200" t="s">
        <v>646</v>
      </c>
      <c r="E126" s="11"/>
      <c r="F126" s="55"/>
      <c r="G126" s="64"/>
      <c r="H126" s="64"/>
    </row>
    <row r="127" spans="1:8" x14ac:dyDescent="0.3">
      <c r="A127" s="79" t="s">
        <v>1168</v>
      </c>
      <c r="B127" s="200" t="s">
        <v>646</v>
      </c>
      <c r="C127" s="2" t="s">
        <v>646</v>
      </c>
      <c r="D127" s="200" t="s">
        <v>646</v>
      </c>
      <c r="E127" s="11"/>
      <c r="F127" s="55"/>
      <c r="G127" s="64"/>
      <c r="H127" s="64"/>
    </row>
    <row r="128" spans="1:8" x14ac:dyDescent="0.3">
      <c r="A128" s="79" t="s">
        <v>1473</v>
      </c>
      <c r="B128" s="200" t="s">
        <v>646</v>
      </c>
      <c r="C128" s="2" t="s">
        <v>646</v>
      </c>
      <c r="D128" s="200" t="s">
        <v>646</v>
      </c>
      <c r="E128" s="11"/>
      <c r="F128" s="55"/>
      <c r="G128" s="64"/>
      <c r="H128" s="64"/>
    </row>
    <row r="129" spans="1:8" x14ac:dyDescent="0.3">
      <c r="A129" s="79" t="s">
        <v>1472</v>
      </c>
      <c r="B129" s="200" t="s">
        <v>646</v>
      </c>
      <c r="C129" s="2" t="s">
        <v>646</v>
      </c>
      <c r="D129" s="200" t="s">
        <v>646</v>
      </c>
      <c r="E129" s="11"/>
      <c r="F129" s="55"/>
      <c r="G129" s="64"/>
      <c r="H129" s="64"/>
    </row>
    <row r="130" spans="1:8" x14ac:dyDescent="0.3">
      <c r="A130" s="10" t="s">
        <v>599</v>
      </c>
      <c r="B130" s="200" t="s">
        <v>145</v>
      </c>
      <c r="C130" s="2" t="s">
        <v>145</v>
      </c>
      <c r="D130" s="200" t="s">
        <v>145</v>
      </c>
      <c r="E130" s="11"/>
      <c r="F130" s="55"/>
      <c r="G130" s="64"/>
      <c r="H130" s="64"/>
    </row>
    <row r="131" spans="1:8" x14ac:dyDescent="0.3">
      <c r="A131" s="17" t="s">
        <v>1726</v>
      </c>
      <c r="B131" s="209" t="s">
        <v>145</v>
      </c>
      <c r="C131" s="4" t="s">
        <v>145</v>
      </c>
      <c r="D131" s="209" t="s">
        <v>145</v>
      </c>
      <c r="E131" s="13"/>
      <c r="F131" s="55"/>
      <c r="G131" s="64"/>
      <c r="H131" s="64"/>
    </row>
    <row r="132" spans="1:8" x14ac:dyDescent="0.25">
      <c r="A132" s="5"/>
    </row>
  </sheetData>
  <sheetProtection algorithmName="SHA-512" hashValue="rrJU+Icz9EIgNiBcG9aUG3QKb3F9kx+pH5z3S6UPwTW3mA6L8EJb2dDTpVp6s1jZ+ZXe/fS3eotaZ6YSTgjgYg==" saltValue="rFSYncSvNRzJQxEr/Mw4Qg==" spinCount="100000" sheet="1" objects="1" scenarios="1" autoFilter="0"/>
  <autoFilter ref="B5:G131" xr:uid="{00000000-0009-0000-0000-000006000000}"/>
  <customSheetViews>
    <customSheetView guid="{33D191C9-AE75-45EC-B301-B583C3381734}" showGridLines="0" fitToPage="1" printArea="1" showAutoFilter="1">
      <pane ySplit="5" topLeftCell="A105" activePane="bottomLeft" state="frozen"/>
      <selection pane="bottomLeft"/>
      <pageMargins left="0.75" right="0.75" top="1" bottom="1" header="0.5" footer="0.5"/>
      <pageSetup paperSize="9" scale="80" fitToHeight="100" orientation="landscape" r:id="rId1"/>
      <headerFooter alignWithMargins="0"/>
      <autoFilter ref="B1:G1" xr:uid="{BD5B12AE-70E5-4EAA-9E4B-ECEE481ED46D}"/>
    </customSheetView>
  </customSheetViews>
  <mergeCells count="1">
    <mergeCell ref="B4:F4"/>
  </mergeCells>
  <phoneticPr fontId="2" type="noConversion"/>
  <dataValidations count="1">
    <dataValidation type="list" allowBlank="1" showInputMessage="1" showErrorMessage="1" sqref="F7:F131" xr:uid="{00000000-0002-0000-0600-000000000000}">
      <formula1>"Akkoord,Opmerking,N.v.t.,,"</formula1>
    </dataValidation>
  </dataValidations>
  <hyperlinks>
    <hyperlink ref="A5" location="'Financiele vaste activa'!A2" display="FINANCIELE VASTE ACTIVA" xr:uid="{00000000-0004-0000-0600-000000000000}"/>
    <hyperlink ref="A7" location="'Financiele vaste activa'!A1" display="ALGEMEEN" xr:uid="{00000000-0004-0000-0600-000001000000}"/>
    <hyperlink ref="A9" location="'Financiele vaste activa'!A5" display="Deelnemingen en kapitaalbelangen" xr:uid="{00000000-0004-0000-0600-000002000000}"/>
    <hyperlink ref="A43" location="'Financiele vaste activa'!A26" display="Goodwill in deelnemingen" xr:uid="{00000000-0004-0000-0600-000003000000}"/>
    <hyperlink ref="A111" location="'Financiele vaste activa'!A77" display="Overige financiële vaste activa" xr:uid="{00000000-0004-0000-0600-000004000000}"/>
    <hyperlink ref="A32" location="'Financiële instrumenten'!A44" display="Bijzondere waardeverminderingen worden behandeld in hoofdstuk E bij ‘waardering’." xr:uid="{00000000-0004-0000-0600-000005000000}"/>
    <hyperlink ref="A30" location="Concernverhoudingen!A54" display="Voor de bepaling van de verkrijgingsprijs in geval van fusies of overnames of via een ‘omgekeerde overname’ gelden specifieke regels. Zie ook tabblad Concernverhoudingen: onderdeel consolidatie bij ‘fusies en overnames’." xr:uid="{00000000-0004-0000-0600-000006000000}"/>
  </hyperlinks>
  <pageMargins left="0.75" right="0.75" top="1" bottom="1" header="0.5" footer="0.5"/>
  <pageSetup paperSize="9" scale="80"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7173"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7">
    <tabColor rgb="FF951B81"/>
    <pageSetUpPr fitToPage="1"/>
  </sheetPr>
  <dimension ref="A1:J109"/>
  <sheetViews>
    <sheetView showGridLines="0" zoomScaleNormal="100" workbookViewId="0">
      <pane ySplit="5" topLeftCell="A33" activePane="bottomLeft" state="frozen"/>
      <selection activeCell="A119" sqref="A119"/>
      <selection pane="bottomLeft" activeCell="A61" sqref="A61"/>
    </sheetView>
  </sheetViews>
  <sheetFormatPr defaultColWidth="9.1796875" defaultRowHeight="13" x14ac:dyDescent="0.25"/>
  <cols>
    <col min="1" max="1" width="60.7265625" style="1" customWidth="1"/>
    <col min="2" max="2" width="10.7265625" style="1" customWidth="1"/>
    <col min="3" max="3" width="10.81640625" style="1" customWidth="1"/>
    <col min="4" max="4" width="8.453125" style="1" customWidth="1"/>
    <col min="5" max="5" width="20.453125" style="1" bestFit="1" customWidth="1"/>
    <col min="6" max="6" width="10.7265625" style="59" customWidth="1"/>
    <col min="7" max="7" width="61.81640625" style="60" customWidth="1"/>
    <col min="8" max="10" width="9.1796875" style="59"/>
    <col min="11" max="16384" width="9.1796875" style="1"/>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s="6" customFormat="1" ht="20.149999999999999" customHeight="1" x14ac:dyDescent="0.25">
      <c r="B4" s="256" t="str">
        <f>CONCATENATE("Klant en boekjaar: ",Klantnummer,"; ",Naam_klant,";  ",Boekjaar)</f>
        <v xml:space="preserve">Klant en boekjaar: ; ;  </v>
      </c>
      <c r="C4" s="255"/>
      <c r="D4" s="255"/>
      <c r="E4" s="255"/>
      <c r="F4" s="255"/>
      <c r="G4" s="60"/>
      <c r="H4" s="58"/>
      <c r="I4" s="58"/>
      <c r="J4" s="58"/>
    </row>
    <row r="5" spans="1:10" ht="15.5" x14ac:dyDescent="0.25">
      <c r="A5" s="210" t="s">
        <v>155</v>
      </c>
      <c r="B5" s="211" t="s">
        <v>642</v>
      </c>
      <c r="C5" s="211" t="s">
        <v>643</v>
      </c>
      <c r="D5" s="211" t="s">
        <v>644</v>
      </c>
      <c r="E5" s="212" t="s">
        <v>645</v>
      </c>
      <c r="F5" s="213" t="s">
        <v>54</v>
      </c>
      <c r="G5" s="199" t="s">
        <v>2858</v>
      </c>
    </row>
    <row r="6" spans="1:10" ht="25" x14ac:dyDescent="0.25">
      <c r="A6" s="52" t="s">
        <v>155</v>
      </c>
      <c r="B6" s="200" t="s">
        <v>144</v>
      </c>
      <c r="C6" s="2" t="s">
        <v>144</v>
      </c>
      <c r="D6" s="200" t="s">
        <v>144</v>
      </c>
      <c r="E6" s="16" t="s">
        <v>2635</v>
      </c>
      <c r="F6" s="55"/>
    </row>
    <row r="7" spans="1:10" s="46" customFormat="1" x14ac:dyDescent="0.3">
      <c r="A7" s="52" t="s">
        <v>546</v>
      </c>
      <c r="B7" s="200" t="s">
        <v>144</v>
      </c>
      <c r="C7" s="2" t="s">
        <v>144</v>
      </c>
      <c r="D7" s="200" t="s">
        <v>144</v>
      </c>
      <c r="E7" s="35"/>
      <c r="F7" s="55"/>
      <c r="G7" s="60"/>
      <c r="H7" s="64" t="s">
        <v>2182</v>
      </c>
      <c r="I7" s="60"/>
      <c r="J7" s="60"/>
    </row>
    <row r="8" spans="1:10" x14ac:dyDescent="0.3">
      <c r="A8" s="16" t="s">
        <v>863</v>
      </c>
      <c r="B8" s="200" t="s">
        <v>144</v>
      </c>
      <c r="C8" s="2" t="s">
        <v>144</v>
      </c>
      <c r="D8" s="200" t="s">
        <v>144</v>
      </c>
      <c r="E8" s="2"/>
      <c r="F8" s="55"/>
      <c r="H8" s="64"/>
    </row>
    <row r="9" spans="1:10" ht="25" x14ac:dyDescent="0.3">
      <c r="A9" s="16" t="s">
        <v>617</v>
      </c>
      <c r="B9" s="200" t="s">
        <v>144</v>
      </c>
      <c r="C9" s="2" t="s">
        <v>144</v>
      </c>
      <c r="D9" s="200" t="s">
        <v>144</v>
      </c>
      <c r="E9" s="2" t="s">
        <v>2217</v>
      </c>
      <c r="F9" s="55"/>
      <c r="H9" s="64"/>
    </row>
    <row r="10" spans="1:10" ht="26" x14ac:dyDescent="0.3">
      <c r="A10" s="35" t="s">
        <v>2057</v>
      </c>
      <c r="B10" s="200" t="s">
        <v>144</v>
      </c>
      <c r="C10" s="2" t="s">
        <v>144</v>
      </c>
      <c r="D10" s="200" t="s">
        <v>144</v>
      </c>
      <c r="E10" s="2" t="s">
        <v>2218</v>
      </c>
      <c r="F10" s="55"/>
      <c r="H10" s="64"/>
    </row>
    <row r="11" spans="1:10" ht="37.5" x14ac:dyDescent="0.3">
      <c r="A11" s="16" t="s">
        <v>156</v>
      </c>
      <c r="B11" s="200" t="s">
        <v>144</v>
      </c>
      <c r="C11" s="2" t="s">
        <v>144</v>
      </c>
      <c r="D11" s="200" t="s">
        <v>144</v>
      </c>
      <c r="E11" s="2" t="s">
        <v>2219</v>
      </c>
      <c r="F11" s="55"/>
      <c r="H11" s="64" t="s">
        <v>2182</v>
      </c>
    </row>
    <row r="12" spans="1:10" ht="25" x14ac:dyDescent="0.3">
      <c r="A12" s="16" t="s">
        <v>618</v>
      </c>
      <c r="B12" s="200" t="s">
        <v>144</v>
      </c>
      <c r="C12" s="2" t="s">
        <v>144</v>
      </c>
      <c r="D12" s="200" t="s">
        <v>144</v>
      </c>
      <c r="E12" s="2" t="s">
        <v>55</v>
      </c>
      <c r="F12" s="55"/>
      <c r="H12" s="64" t="s">
        <v>2182</v>
      </c>
    </row>
    <row r="13" spans="1:10" ht="51" x14ac:dyDescent="0.3">
      <c r="A13" s="16" t="s">
        <v>2058</v>
      </c>
      <c r="B13" s="200" t="s">
        <v>144</v>
      </c>
      <c r="C13" s="2" t="s">
        <v>144</v>
      </c>
      <c r="D13" s="200" t="s">
        <v>144</v>
      </c>
      <c r="E13" s="2" t="s">
        <v>292</v>
      </c>
      <c r="F13" s="55"/>
      <c r="H13" s="64" t="s">
        <v>2182</v>
      </c>
    </row>
    <row r="14" spans="1:10" x14ac:dyDescent="0.3">
      <c r="A14" s="16" t="s">
        <v>302</v>
      </c>
      <c r="B14" s="200" t="s">
        <v>144</v>
      </c>
      <c r="C14" s="2" t="s">
        <v>144</v>
      </c>
      <c r="D14" s="200" t="s">
        <v>144</v>
      </c>
      <c r="E14" s="2"/>
      <c r="F14" s="55"/>
      <c r="H14" s="64" t="s">
        <v>2182</v>
      </c>
    </row>
    <row r="15" spans="1:10" ht="50" x14ac:dyDescent="0.3">
      <c r="A15" s="16" t="s">
        <v>1840</v>
      </c>
      <c r="B15" s="200" t="s">
        <v>144</v>
      </c>
      <c r="C15" s="2" t="s">
        <v>144</v>
      </c>
      <c r="D15" s="200" t="s">
        <v>144</v>
      </c>
      <c r="E15" s="16" t="s">
        <v>1841</v>
      </c>
      <c r="F15" s="55"/>
      <c r="H15" s="64" t="s">
        <v>2182</v>
      </c>
    </row>
    <row r="16" spans="1:10" ht="62.5" x14ac:dyDescent="0.3">
      <c r="A16" s="16" t="s">
        <v>2797</v>
      </c>
      <c r="B16" s="200" t="s">
        <v>144</v>
      </c>
      <c r="C16" s="2" t="s">
        <v>144</v>
      </c>
      <c r="D16" s="200" t="s">
        <v>144</v>
      </c>
      <c r="E16" s="2" t="s">
        <v>960</v>
      </c>
      <c r="F16" s="55"/>
      <c r="H16" s="64" t="s">
        <v>2182</v>
      </c>
    </row>
    <row r="17" spans="1:8" ht="75.5" x14ac:dyDescent="0.3">
      <c r="A17" s="16" t="s">
        <v>2888</v>
      </c>
      <c r="B17" s="200" t="s">
        <v>144</v>
      </c>
      <c r="C17" s="2" t="s">
        <v>144</v>
      </c>
      <c r="D17" s="200" t="s">
        <v>144</v>
      </c>
      <c r="E17" s="16" t="s">
        <v>2675</v>
      </c>
      <c r="F17" s="55"/>
      <c r="G17" s="60" t="s">
        <v>1856</v>
      </c>
      <c r="H17" s="64"/>
    </row>
    <row r="18" spans="1:8" ht="50" x14ac:dyDescent="0.3">
      <c r="A18" s="16" t="s">
        <v>1169</v>
      </c>
      <c r="B18" s="200" t="s">
        <v>144</v>
      </c>
      <c r="C18" s="2" t="s">
        <v>144</v>
      </c>
      <c r="D18" s="200" t="s">
        <v>144</v>
      </c>
      <c r="E18" s="2" t="s">
        <v>2220</v>
      </c>
      <c r="F18" s="55"/>
      <c r="H18" s="64" t="s">
        <v>2182</v>
      </c>
    </row>
    <row r="19" spans="1:8" ht="39" customHeight="1" x14ac:dyDescent="0.3">
      <c r="A19" s="10" t="s">
        <v>959</v>
      </c>
      <c r="B19" s="200" t="s">
        <v>144</v>
      </c>
      <c r="C19" s="2" t="s">
        <v>144</v>
      </c>
      <c r="D19" s="200" t="s">
        <v>144</v>
      </c>
      <c r="E19" s="2" t="s">
        <v>2221</v>
      </c>
      <c r="F19" s="55"/>
      <c r="H19" s="64" t="s">
        <v>2182</v>
      </c>
    </row>
    <row r="20" spans="1:8" ht="26.25" customHeight="1" x14ac:dyDescent="0.3">
      <c r="A20" s="16" t="s">
        <v>619</v>
      </c>
      <c r="B20" s="200" t="s">
        <v>144</v>
      </c>
      <c r="C20" s="2" t="s">
        <v>144</v>
      </c>
      <c r="D20" s="200" t="s">
        <v>144</v>
      </c>
      <c r="E20" s="16" t="s">
        <v>1713</v>
      </c>
      <c r="F20" s="55"/>
      <c r="H20" s="64" t="s">
        <v>2182</v>
      </c>
    </row>
    <row r="21" spans="1:8" ht="25" x14ac:dyDescent="0.3">
      <c r="A21" s="16" t="s">
        <v>2059</v>
      </c>
      <c r="B21" s="200" t="s">
        <v>144</v>
      </c>
      <c r="C21" s="2" t="s">
        <v>144</v>
      </c>
      <c r="D21" s="200" t="s">
        <v>144</v>
      </c>
      <c r="E21" s="133" t="s">
        <v>2287</v>
      </c>
      <c r="F21" s="55"/>
      <c r="H21" s="64" t="s">
        <v>2182</v>
      </c>
    </row>
    <row r="22" spans="1:8" ht="37.5" x14ac:dyDescent="0.3">
      <c r="A22" s="16" t="s">
        <v>56</v>
      </c>
      <c r="B22" s="200" t="s">
        <v>144</v>
      </c>
      <c r="C22" s="2" t="s">
        <v>144</v>
      </c>
      <c r="D22" s="200" t="s">
        <v>144</v>
      </c>
      <c r="E22" s="2" t="s">
        <v>620</v>
      </c>
      <c r="F22" s="55"/>
      <c r="H22" s="64" t="s">
        <v>2182</v>
      </c>
    </row>
    <row r="23" spans="1:8" ht="40.5" customHeight="1" x14ac:dyDescent="0.3">
      <c r="A23" s="16" t="s">
        <v>1170</v>
      </c>
      <c r="B23" s="200" t="s">
        <v>144</v>
      </c>
      <c r="C23" s="2" t="s">
        <v>144</v>
      </c>
      <c r="D23" s="200" t="s">
        <v>144</v>
      </c>
      <c r="E23" s="2" t="s">
        <v>2288</v>
      </c>
      <c r="F23" s="55"/>
      <c r="H23" s="64" t="s">
        <v>2182</v>
      </c>
    </row>
    <row r="24" spans="1:8" x14ac:dyDescent="0.3">
      <c r="A24" s="16" t="s">
        <v>1727</v>
      </c>
      <c r="B24" s="200" t="s">
        <v>144</v>
      </c>
      <c r="C24" s="2" t="s">
        <v>144</v>
      </c>
      <c r="D24" s="200" t="s">
        <v>144</v>
      </c>
      <c r="E24" s="2" t="s">
        <v>841</v>
      </c>
      <c r="F24" s="55"/>
      <c r="H24" s="64" t="s">
        <v>2182</v>
      </c>
    </row>
    <row r="25" spans="1:8" ht="50" x14ac:dyDescent="0.3">
      <c r="A25" s="16" t="s">
        <v>1842</v>
      </c>
      <c r="B25" s="200" t="s">
        <v>144</v>
      </c>
      <c r="C25" s="2" t="s">
        <v>144</v>
      </c>
      <c r="D25" s="200" t="s">
        <v>144</v>
      </c>
      <c r="E25" s="2" t="s">
        <v>2222</v>
      </c>
      <c r="F25" s="55"/>
      <c r="H25" s="64" t="s">
        <v>2182</v>
      </c>
    </row>
    <row r="26" spans="1:8" ht="25.5" x14ac:dyDescent="0.3">
      <c r="A26" s="16" t="s">
        <v>2060</v>
      </c>
      <c r="B26" s="200" t="s">
        <v>144</v>
      </c>
      <c r="C26" s="2" t="s">
        <v>144</v>
      </c>
      <c r="D26" s="200" t="s">
        <v>144</v>
      </c>
      <c r="E26" s="16" t="s">
        <v>2223</v>
      </c>
      <c r="F26" s="55"/>
      <c r="G26" s="95"/>
      <c r="H26" s="64" t="s">
        <v>2182</v>
      </c>
    </row>
    <row r="27" spans="1:8" x14ac:dyDescent="0.3">
      <c r="A27" s="120" t="s">
        <v>2224</v>
      </c>
      <c r="B27" s="200" t="s">
        <v>144</v>
      </c>
      <c r="C27" s="2" t="s">
        <v>144</v>
      </c>
      <c r="D27" s="200" t="s">
        <v>144</v>
      </c>
      <c r="E27" s="16"/>
      <c r="F27" s="55"/>
      <c r="G27" s="95"/>
      <c r="H27" s="64"/>
    </row>
    <row r="28" spans="1:8" ht="25" x14ac:dyDescent="0.3">
      <c r="A28" s="16" t="s">
        <v>2225</v>
      </c>
      <c r="B28" s="200" t="s">
        <v>144</v>
      </c>
      <c r="C28" s="2" t="s">
        <v>144</v>
      </c>
      <c r="D28" s="200" t="s">
        <v>144</v>
      </c>
      <c r="E28" s="16" t="s">
        <v>1610</v>
      </c>
      <c r="F28" s="55"/>
      <c r="G28" s="95"/>
      <c r="H28" s="64" t="s">
        <v>2182</v>
      </c>
    </row>
    <row r="29" spans="1:8" ht="39" customHeight="1" x14ac:dyDescent="0.3">
      <c r="A29" s="16" t="s">
        <v>1843</v>
      </c>
      <c r="B29" s="200" t="s">
        <v>144</v>
      </c>
      <c r="C29" s="2" t="s">
        <v>144</v>
      </c>
      <c r="D29" s="200" t="s">
        <v>144</v>
      </c>
      <c r="E29" s="16" t="s">
        <v>1844</v>
      </c>
      <c r="F29" s="55"/>
      <c r="G29" s="95"/>
      <c r="H29" s="64" t="s">
        <v>2182</v>
      </c>
    </row>
    <row r="30" spans="1:8" ht="37.5" x14ac:dyDescent="0.3">
      <c r="A30" s="16" t="s">
        <v>1845</v>
      </c>
      <c r="B30" s="200" t="s">
        <v>144</v>
      </c>
      <c r="C30" s="2" t="s">
        <v>144</v>
      </c>
      <c r="D30" s="200" t="s">
        <v>144</v>
      </c>
      <c r="E30" s="16" t="s">
        <v>2226</v>
      </c>
      <c r="F30" s="55"/>
      <c r="G30" s="95"/>
      <c r="H30" s="64" t="s">
        <v>2182</v>
      </c>
    </row>
    <row r="31" spans="1:8" ht="25" x14ac:dyDescent="0.3">
      <c r="A31" s="16" t="s">
        <v>1846</v>
      </c>
      <c r="B31" s="200" t="s">
        <v>144</v>
      </c>
      <c r="C31" s="2" t="s">
        <v>144</v>
      </c>
      <c r="D31" s="200" t="s">
        <v>144</v>
      </c>
      <c r="E31" s="16" t="s">
        <v>2227</v>
      </c>
      <c r="F31" s="55"/>
      <c r="G31" s="95"/>
      <c r="H31" s="64" t="s">
        <v>2182</v>
      </c>
    </row>
    <row r="32" spans="1:8" ht="39" customHeight="1" x14ac:dyDescent="0.3">
      <c r="A32" s="16" t="s">
        <v>1847</v>
      </c>
      <c r="B32" s="200" t="s">
        <v>144</v>
      </c>
      <c r="C32" s="2" t="s">
        <v>144</v>
      </c>
      <c r="D32" s="200" t="s">
        <v>144</v>
      </c>
      <c r="E32" s="16" t="s">
        <v>1848</v>
      </c>
      <c r="F32" s="55"/>
      <c r="G32" s="95"/>
      <c r="H32" s="64" t="s">
        <v>2182</v>
      </c>
    </row>
    <row r="33" spans="1:8" ht="27" customHeight="1" x14ac:dyDescent="0.3">
      <c r="A33" s="16" t="s">
        <v>2061</v>
      </c>
      <c r="B33" s="200" t="s">
        <v>144</v>
      </c>
      <c r="C33" s="2" t="s">
        <v>144</v>
      </c>
      <c r="D33" s="200" t="s">
        <v>144</v>
      </c>
      <c r="E33" s="16" t="s">
        <v>1849</v>
      </c>
      <c r="F33" s="55"/>
      <c r="G33" s="95"/>
      <c r="H33" s="64" t="s">
        <v>2182</v>
      </c>
    </row>
    <row r="34" spans="1:8" x14ac:dyDescent="0.3">
      <c r="A34" s="16" t="s">
        <v>547</v>
      </c>
      <c r="B34" s="200" t="s">
        <v>646</v>
      </c>
      <c r="C34" s="2" t="s">
        <v>646</v>
      </c>
      <c r="D34" s="200" t="s">
        <v>646</v>
      </c>
      <c r="E34" s="2"/>
      <c r="F34" s="55"/>
      <c r="H34" s="64" t="s">
        <v>2182</v>
      </c>
    </row>
    <row r="35" spans="1:8" x14ac:dyDescent="0.3">
      <c r="A35" s="16" t="s">
        <v>1171</v>
      </c>
      <c r="B35" s="200" t="s">
        <v>646</v>
      </c>
      <c r="C35" s="2" t="s">
        <v>646</v>
      </c>
      <c r="D35" s="200" t="s">
        <v>646</v>
      </c>
      <c r="E35" s="2"/>
      <c r="F35" s="55"/>
      <c r="H35" s="64" t="s">
        <v>2182</v>
      </c>
    </row>
    <row r="36" spans="1:8" x14ac:dyDescent="0.3">
      <c r="A36" s="16" t="s">
        <v>324</v>
      </c>
      <c r="B36" s="200" t="s">
        <v>646</v>
      </c>
      <c r="C36" s="2" t="s">
        <v>843</v>
      </c>
      <c r="D36" s="200"/>
      <c r="E36" s="2" t="s">
        <v>2062</v>
      </c>
      <c r="F36" s="55"/>
      <c r="H36" s="64" t="s">
        <v>2182</v>
      </c>
    </row>
    <row r="37" spans="1:8" x14ac:dyDescent="0.3">
      <c r="A37" s="16" t="s">
        <v>1172</v>
      </c>
      <c r="B37" s="200" t="s">
        <v>646</v>
      </c>
      <c r="C37" s="2" t="s">
        <v>843</v>
      </c>
      <c r="D37" s="200"/>
      <c r="E37" s="2"/>
      <c r="F37" s="55"/>
      <c r="H37" s="64" t="s">
        <v>2182</v>
      </c>
    </row>
    <row r="38" spans="1:8" x14ac:dyDescent="0.3">
      <c r="A38" s="16" t="s">
        <v>1173</v>
      </c>
      <c r="B38" s="200" t="s">
        <v>646</v>
      </c>
      <c r="C38" s="2" t="s">
        <v>843</v>
      </c>
      <c r="D38" s="200"/>
      <c r="E38" s="2"/>
      <c r="F38" s="55"/>
      <c r="H38" s="64" t="s">
        <v>2182</v>
      </c>
    </row>
    <row r="39" spans="1:8" x14ac:dyDescent="0.3">
      <c r="A39" s="16" t="s">
        <v>1175</v>
      </c>
      <c r="B39" s="200" t="s">
        <v>646</v>
      </c>
      <c r="C39" s="2" t="s">
        <v>843</v>
      </c>
      <c r="D39" s="200"/>
      <c r="E39" s="2"/>
      <c r="F39" s="55"/>
      <c r="H39" s="64" t="s">
        <v>2182</v>
      </c>
    </row>
    <row r="40" spans="1:8" x14ac:dyDescent="0.3">
      <c r="A40" s="1" t="s">
        <v>1174</v>
      </c>
      <c r="B40" s="200" t="s">
        <v>646</v>
      </c>
      <c r="C40" s="2" t="s">
        <v>843</v>
      </c>
      <c r="D40" s="200"/>
      <c r="E40" s="2"/>
      <c r="F40" s="55"/>
      <c r="H40" s="64" t="s">
        <v>2182</v>
      </c>
    </row>
    <row r="41" spans="1:8" x14ac:dyDescent="0.3">
      <c r="A41" s="10" t="s">
        <v>961</v>
      </c>
      <c r="B41" s="200" t="s">
        <v>646</v>
      </c>
      <c r="C41" s="2" t="s">
        <v>843</v>
      </c>
      <c r="D41" s="200"/>
      <c r="E41" s="2"/>
      <c r="F41" s="55"/>
      <c r="H41" s="64" t="s">
        <v>2182</v>
      </c>
    </row>
    <row r="42" spans="1:8" x14ac:dyDescent="0.3">
      <c r="A42" s="10" t="s">
        <v>2063</v>
      </c>
      <c r="B42" s="200" t="s">
        <v>646</v>
      </c>
      <c r="C42" s="2" t="s">
        <v>646</v>
      </c>
      <c r="D42" s="200" t="s">
        <v>646</v>
      </c>
      <c r="E42" s="2"/>
      <c r="F42" s="55"/>
      <c r="H42" s="64"/>
    </row>
    <row r="43" spans="1:8" ht="25" x14ac:dyDescent="0.3">
      <c r="A43" s="79" t="s">
        <v>2064</v>
      </c>
      <c r="B43" s="200" t="s">
        <v>646</v>
      </c>
      <c r="C43" s="2" t="s">
        <v>646</v>
      </c>
      <c r="D43" s="200" t="s">
        <v>646</v>
      </c>
      <c r="E43" s="16" t="s">
        <v>2676</v>
      </c>
      <c r="F43" s="55"/>
      <c r="H43" s="64"/>
    </row>
    <row r="44" spans="1:8" x14ac:dyDescent="0.3">
      <c r="A44" s="79" t="s">
        <v>2065</v>
      </c>
      <c r="B44" s="200" t="s">
        <v>646</v>
      </c>
      <c r="C44" s="2" t="s">
        <v>646</v>
      </c>
      <c r="D44" s="200" t="s">
        <v>646</v>
      </c>
      <c r="E44" s="16"/>
      <c r="F44" s="55"/>
      <c r="H44" s="64"/>
    </row>
    <row r="45" spans="1:8" ht="25" x14ac:dyDescent="0.3">
      <c r="A45" s="79" t="s">
        <v>2066</v>
      </c>
      <c r="B45" s="200" t="s">
        <v>646</v>
      </c>
      <c r="C45" s="2" t="s">
        <v>646</v>
      </c>
      <c r="D45" s="200" t="s">
        <v>646</v>
      </c>
      <c r="E45" s="16" t="s">
        <v>2606</v>
      </c>
      <c r="F45" s="55"/>
      <c r="H45" s="64" t="s">
        <v>2182</v>
      </c>
    </row>
    <row r="46" spans="1:8" ht="37.5" x14ac:dyDescent="0.3">
      <c r="A46" s="79" t="s">
        <v>2067</v>
      </c>
      <c r="B46" s="200" t="s">
        <v>646</v>
      </c>
      <c r="C46" s="2" t="s">
        <v>843</v>
      </c>
      <c r="D46" s="200"/>
      <c r="E46" s="16"/>
      <c r="F46" s="55"/>
      <c r="H46" s="64" t="s">
        <v>2182</v>
      </c>
    </row>
    <row r="47" spans="1:8" x14ac:dyDescent="0.3">
      <c r="A47" s="79" t="s">
        <v>2068</v>
      </c>
      <c r="B47" s="200" t="s">
        <v>646</v>
      </c>
      <c r="C47" s="2" t="s">
        <v>646</v>
      </c>
      <c r="D47" s="200"/>
      <c r="E47" s="16"/>
      <c r="F47" s="55"/>
      <c r="H47" s="64" t="s">
        <v>2182</v>
      </c>
    </row>
    <row r="48" spans="1:8" x14ac:dyDescent="0.3">
      <c r="A48" s="79" t="s">
        <v>2069</v>
      </c>
      <c r="B48" s="200" t="s">
        <v>646</v>
      </c>
      <c r="C48" s="2"/>
      <c r="D48" s="200"/>
      <c r="E48" s="16"/>
      <c r="F48" s="55"/>
      <c r="H48" s="64" t="s">
        <v>2182</v>
      </c>
    </row>
    <row r="49" spans="1:10" ht="28.5" customHeight="1" x14ac:dyDescent="0.3">
      <c r="A49" s="79" t="s">
        <v>2070</v>
      </c>
      <c r="B49" s="200" t="s">
        <v>646</v>
      </c>
      <c r="C49" s="2" t="s">
        <v>646</v>
      </c>
      <c r="D49" s="200"/>
      <c r="E49" s="16" t="s">
        <v>2228</v>
      </c>
      <c r="F49" s="55"/>
      <c r="H49" s="64" t="s">
        <v>2182</v>
      </c>
    </row>
    <row r="50" spans="1:10" x14ac:dyDescent="0.3">
      <c r="A50" s="16" t="s">
        <v>2607</v>
      </c>
      <c r="B50" s="200" t="s">
        <v>646</v>
      </c>
      <c r="C50" s="2" t="s">
        <v>646</v>
      </c>
      <c r="D50" s="200" t="s">
        <v>646</v>
      </c>
      <c r="E50" s="16"/>
      <c r="F50" s="55"/>
      <c r="H50" s="64" t="s">
        <v>2182</v>
      </c>
    </row>
    <row r="51" spans="1:10" x14ac:dyDescent="0.3">
      <c r="A51" s="79" t="s">
        <v>2608</v>
      </c>
      <c r="B51" s="200" t="s">
        <v>646</v>
      </c>
      <c r="C51" s="2" t="s">
        <v>646</v>
      </c>
      <c r="D51" s="200" t="s">
        <v>646</v>
      </c>
      <c r="E51" s="16" t="s">
        <v>2826</v>
      </c>
      <c r="F51" s="55"/>
      <c r="H51" s="64"/>
    </row>
    <row r="52" spans="1:10" x14ac:dyDescent="0.3">
      <c r="A52" s="79" t="s">
        <v>2609</v>
      </c>
      <c r="B52" s="200" t="s">
        <v>646</v>
      </c>
      <c r="C52" s="2" t="s">
        <v>843</v>
      </c>
      <c r="D52" s="200"/>
      <c r="E52" s="16" t="s">
        <v>2229</v>
      </c>
      <c r="F52" s="55"/>
      <c r="H52" s="64"/>
    </row>
    <row r="53" spans="1:10" x14ac:dyDescent="0.3">
      <c r="A53" s="16" t="s">
        <v>599</v>
      </c>
      <c r="B53" s="200" t="s">
        <v>145</v>
      </c>
      <c r="C53" s="2" t="s">
        <v>145</v>
      </c>
      <c r="D53" s="200" t="s">
        <v>145</v>
      </c>
      <c r="E53" s="2"/>
      <c r="F53" s="55"/>
      <c r="H53" s="64" t="s">
        <v>2182</v>
      </c>
    </row>
    <row r="54" spans="1:10" x14ac:dyDescent="0.3">
      <c r="A54" s="16" t="s">
        <v>325</v>
      </c>
      <c r="B54" s="200" t="s">
        <v>145</v>
      </c>
      <c r="C54" s="2" t="s">
        <v>145</v>
      </c>
      <c r="D54" s="200" t="s">
        <v>145</v>
      </c>
      <c r="E54" s="2"/>
      <c r="F54" s="55"/>
      <c r="H54" s="64" t="s">
        <v>2182</v>
      </c>
    </row>
    <row r="55" spans="1:10" x14ac:dyDescent="0.3">
      <c r="A55" s="1" t="s">
        <v>1176</v>
      </c>
      <c r="B55" s="200" t="s">
        <v>145</v>
      </c>
      <c r="C55" s="2" t="s">
        <v>145</v>
      </c>
      <c r="D55" s="200" t="s">
        <v>145</v>
      </c>
      <c r="E55" s="2"/>
      <c r="F55" s="55"/>
      <c r="H55" s="64" t="s">
        <v>2182</v>
      </c>
    </row>
    <row r="56" spans="1:10" ht="25" x14ac:dyDescent="0.3">
      <c r="A56" s="16" t="s">
        <v>1177</v>
      </c>
      <c r="B56" s="200" t="s">
        <v>145</v>
      </c>
      <c r="C56" s="2" t="s">
        <v>145</v>
      </c>
      <c r="D56" s="200" t="s">
        <v>145</v>
      </c>
      <c r="E56" s="2"/>
      <c r="F56" s="55"/>
      <c r="H56" s="64" t="s">
        <v>2182</v>
      </c>
    </row>
    <row r="57" spans="1:10" ht="25" x14ac:dyDescent="0.3">
      <c r="A57" s="16" t="s">
        <v>1178</v>
      </c>
      <c r="B57" s="200" t="s">
        <v>145</v>
      </c>
      <c r="C57" s="2" t="s">
        <v>145</v>
      </c>
      <c r="D57" s="200" t="s">
        <v>145</v>
      </c>
      <c r="E57" s="2"/>
      <c r="F57" s="55"/>
      <c r="H57" s="64" t="s">
        <v>2182</v>
      </c>
    </row>
    <row r="58" spans="1:10" ht="25" x14ac:dyDescent="0.3">
      <c r="A58" s="16" t="s">
        <v>2289</v>
      </c>
      <c r="B58" s="200" t="s">
        <v>145</v>
      </c>
      <c r="C58" s="2" t="s">
        <v>145</v>
      </c>
      <c r="D58" s="200" t="s">
        <v>145</v>
      </c>
      <c r="E58" s="2"/>
      <c r="F58" s="55"/>
      <c r="H58" s="64" t="s">
        <v>2182</v>
      </c>
    </row>
    <row r="59" spans="1:10" ht="50" x14ac:dyDescent="0.3">
      <c r="A59" s="16" t="s">
        <v>1850</v>
      </c>
      <c r="B59" s="200" t="s">
        <v>145</v>
      </c>
      <c r="C59" s="2" t="s">
        <v>145</v>
      </c>
      <c r="D59" s="200" t="s">
        <v>145</v>
      </c>
      <c r="E59" s="2"/>
      <c r="F59" s="55"/>
      <c r="H59" s="64" t="s">
        <v>2182</v>
      </c>
    </row>
    <row r="60" spans="1:10" ht="25" x14ac:dyDescent="0.3">
      <c r="A60" s="16" t="s">
        <v>883</v>
      </c>
      <c r="B60" s="200" t="s">
        <v>145</v>
      </c>
      <c r="C60" s="2" t="s">
        <v>145</v>
      </c>
      <c r="D60" s="200" t="s">
        <v>145</v>
      </c>
      <c r="E60" s="2"/>
      <c r="F60" s="55"/>
      <c r="H60" s="64" t="s">
        <v>2182</v>
      </c>
    </row>
    <row r="61" spans="1:10" ht="25" x14ac:dyDescent="0.3">
      <c r="A61" s="16" t="s">
        <v>1851</v>
      </c>
      <c r="B61" s="200" t="s">
        <v>145</v>
      </c>
      <c r="C61" s="2" t="s">
        <v>145</v>
      </c>
      <c r="D61" s="200" t="s">
        <v>145</v>
      </c>
      <c r="E61" s="2"/>
      <c r="F61" s="55"/>
      <c r="H61" s="64" t="s">
        <v>2182</v>
      </c>
    </row>
    <row r="62" spans="1:10" s="46" customFormat="1" ht="25" x14ac:dyDescent="0.3">
      <c r="A62" s="34" t="s">
        <v>2317</v>
      </c>
      <c r="B62" s="200" t="s">
        <v>144</v>
      </c>
      <c r="C62" s="2" t="s">
        <v>144</v>
      </c>
      <c r="D62" s="200" t="s">
        <v>144</v>
      </c>
      <c r="E62" s="16" t="s">
        <v>2569</v>
      </c>
      <c r="F62" s="55"/>
      <c r="G62" s="60"/>
      <c r="H62" s="64" t="s">
        <v>2182</v>
      </c>
      <c r="I62" s="60"/>
      <c r="J62" s="60"/>
    </row>
    <row r="63" spans="1:10" x14ac:dyDescent="0.3">
      <c r="A63" s="16" t="s">
        <v>863</v>
      </c>
      <c r="B63" s="200" t="s">
        <v>144</v>
      </c>
      <c r="C63" s="2" t="s">
        <v>144</v>
      </c>
      <c r="D63" s="200" t="s">
        <v>144</v>
      </c>
      <c r="E63" s="2"/>
      <c r="F63" s="55"/>
      <c r="H63" s="64" t="s">
        <v>2182</v>
      </c>
    </row>
    <row r="64" spans="1:10" ht="75" x14ac:dyDescent="0.3">
      <c r="A64" s="16" t="s">
        <v>2402</v>
      </c>
      <c r="B64" s="200" t="s">
        <v>144</v>
      </c>
      <c r="C64" s="2" t="s">
        <v>144</v>
      </c>
      <c r="D64" s="200" t="s">
        <v>144</v>
      </c>
      <c r="E64" s="2"/>
      <c r="F64" s="55"/>
      <c r="H64" s="64" t="s">
        <v>2182</v>
      </c>
    </row>
    <row r="65" spans="1:8" ht="25" x14ac:dyDescent="0.3">
      <c r="A65" s="10" t="s">
        <v>963</v>
      </c>
      <c r="B65" s="200" t="s">
        <v>144</v>
      </c>
      <c r="C65" s="2" t="s">
        <v>144</v>
      </c>
      <c r="D65" s="200" t="s">
        <v>144</v>
      </c>
      <c r="E65" s="2" t="s">
        <v>2403</v>
      </c>
      <c r="F65" s="55"/>
      <c r="H65" s="64"/>
    </row>
    <row r="66" spans="1:8" ht="25" x14ac:dyDescent="0.3">
      <c r="A66" s="10" t="s">
        <v>120</v>
      </c>
      <c r="B66" s="200" t="s">
        <v>144</v>
      </c>
      <c r="C66" s="2" t="s">
        <v>144</v>
      </c>
      <c r="D66" s="200" t="s">
        <v>144</v>
      </c>
      <c r="E66" s="11" t="s">
        <v>962</v>
      </c>
      <c r="F66" s="55"/>
      <c r="H66" s="64" t="s">
        <v>2182</v>
      </c>
    </row>
    <row r="67" spans="1:8" ht="87.5" x14ac:dyDescent="0.3">
      <c r="A67" s="16" t="s">
        <v>2891</v>
      </c>
      <c r="B67" s="200" t="s">
        <v>144</v>
      </c>
      <c r="C67" s="2" t="s">
        <v>144</v>
      </c>
      <c r="D67" s="200" t="s">
        <v>144</v>
      </c>
      <c r="E67" s="2" t="s">
        <v>2404</v>
      </c>
      <c r="F67" s="55"/>
      <c r="G67" s="95" t="s">
        <v>1856</v>
      </c>
      <c r="H67" s="64" t="s">
        <v>2182</v>
      </c>
    </row>
    <row r="68" spans="1:8" ht="25" x14ac:dyDescent="0.3">
      <c r="A68" s="16" t="s">
        <v>2889</v>
      </c>
      <c r="B68" s="200" t="s">
        <v>144</v>
      </c>
      <c r="C68" s="2" t="s">
        <v>144</v>
      </c>
      <c r="D68" s="200" t="s">
        <v>144</v>
      </c>
      <c r="E68" s="2"/>
      <c r="F68" s="55"/>
      <c r="G68" s="95" t="s">
        <v>1856</v>
      </c>
      <c r="H68" s="64"/>
    </row>
    <row r="69" spans="1:8" ht="100" x14ac:dyDescent="0.3">
      <c r="A69" s="16" t="s">
        <v>2890</v>
      </c>
      <c r="B69" s="200" t="s">
        <v>144</v>
      </c>
      <c r="C69" s="2" t="s">
        <v>144</v>
      </c>
      <c r="D69" s="200" t="s">
        <v>144</v>
      </c>
      <c r="E69" s="16" t="s">
        <v>2405</v>
      </c>
      <c r="F69" s="55"/>
      <c r="G69" s="95" t="s">
        <v>1856</v>
      </c>
      <c r="H69" s="64"/>
    </row>
    <row r="70" spans="1:8" ht="75" x14ac:dyDescent="0.3">
      <c r="A70" s="16" t="s">
        <v>2892</v>
      </c>
      <c r="B70" s="200" t="s">
        <v>144</v>
      </c>
      <c r="C70" s="2" t="s">
        <v>144</v>
      </c>
      <c r="D70" s="200" t="s">
        <v>144</v>
      </c>
      <c r="E70" s="2" t="s">
        <v>2406</v>
      </c>
      <c r="F70" s="55"/>
      <c r="G70" s="95" t="s">
        <v>1856</v>
      </c>
      <c r="H70" s="64"/>
    </row>
    <row r="71" spans="1:8" ht="42" customHeight="1" x14ac:dyDescent="0.3">
      <c r="A71" s="16" t="s">
        <v>2893</v>
      </c>
      <c r="B71" s="200" t="s">
        <v>144</v>
      </c>
      <c r="C71" s="2" t="s">
        <v>144</v>
      </c>
      <c r="D71" s="200" t="s">
        <v>144</v>
      </c>
      <c r="E71" s="2" t="s">
        <v>2407</v>
      </c>
      <c r="F71" s="55"/>
      <c r="G71" s="60" t="s">
        <v>1856</v>
      </c>
      <c r="H71" s="64" t="s">
        <v>2182</v>
      </c>
    </row>
    <row r="72" spans="1:8" ht="62.5" x14ac:dyDescent="0.3">
      <c r="A72" s="152" t="s">
        <v>2894</v>
      </c>
      <c r="B72" s="200" t="s">
        <v>144</v>
      </c>
      <c r="C72" s="2" t="s">
        <v>144</v>
      </c>
      <c r="D72" s="200" t="s">
        <v>144</v>
      </c>
      <c r="E72" s="2" t="s">
        <v>2408</v>
      </c>
      <c r="F72" s="55"/>
      <c r="G72" s="60" t="s">
        <v>1856</v>
      </c>
      <c r="H72" s="64"/>
    </row>
    <row r="73" spans="1:8" ht="25" x14ac:dyDescent="0.3">
      <c r="A73" s="10" t="s">
        <v>964</v>
      </c>
      <c r="B73" s="200" t="s">
        <v>144</v>
      </c>
      <c r="C73" s="2" t="s">
        <v>144</v>
      </c>
      <c r="D73" s="200" t="s">
        <v>144</v>
      </c>
      <c r="E73" s="2" t="s">
        <v>200</v>
      </c>
      <c r="F73" s="55"/>
      <c r="H73" s="64" t="s">
        <v>2182</v>
      </c>
    </row>
    <row r="74" spans="1:8" ht="25" x14ac:dyDescent="0.3">
      <c r="A74" s="16" t="s">
        <v>2677</v>
      </c>
      <c r="B74" s="200" t="s">
        <v>144</v>
      </c>
      <c r="C74" s="2" t="s">
        <v>144</v>
      </c>
      <c r="D74" s="200" t="s">
        <v>144</v>
      </c>
      <c r="E74" s="2" t="s">
        <v>90</v>
      </c>
      <c r="F74" s="55"/>
      <c r="H74" s="64" t="s">
        <v>2182</v>
      </c>
    </row>
    <row r="75" spans="1:8" ht="100" x14ac:dyDescent="0.3">
      <c r="A75" s="16" t="s">
        <v>2895</v>
      </c>
      <c r="B75" s="200" t="s">
        <v>144</v>
      </c>
      <c r="C75" s="2" t="s">
        <v>144</v>
      </c>
      <c r="D75" s="200" t="s">
        <v>144</v>
      </c>
      <c r="E75" s="16" t="s">
        <v>2678</v>
      </c>
      <c r="F75" s="55"/>
      <c r="G75" s="95" t="s">
        <v>1856</v>
      </c>
      <c r="H75" s="64"/>
    </row>
    <row r="76" spans="1:8" x14ac:dyDescent="0.3">
      <c r="A76" s="16" t="s">
        <v>302</v>
      </c>
      <c r="B76" s="200" t="s">
        <v>144</v>
      </c>
      <c r="C76" s="2" t="s">
        <v>144</v>
      </c>
      <c r="D76" s="200" t="s">
        <v>144</v>
      </c>
      <c r="E76" s="2"/>
      <c r="F76" s="55"/>
      <c r="H76" s="64" t="s">
        <v>2182</v>
      </c>
    </row>
    <row r="77" spans="1:8" x14ac:dyDescent="0.3">
      <c r="A77" s="16" t="s">
        <v>91</v>
      </c>
      <c r="B77" s="200" t="s">
        <v>144</v>
      </c>
      <c r="C77" s="2" t="s">
        <v>144</v>
      </c>
      <c r="D77" s="200" t="s">
        <v>144</v>
      </c>
      <c r="E77" s="2"/>
      <c r="F77" s="55"/>
      <c r="H77" s="64" t="s">
        <v>2182</v>
      </c>
    </row>
    <row r="78" spans="1:8" ht="25" x14ac:dyDescent="0.3">
      <c r="A78" s="16" t="s">
        <v>1179</v>
      </c>
      <c r="B78" s="200" t="s">
        <v>144</v>
      </c>
      <c r="C78" s="2" t="s">
        <v>144</v>
      </c>
      <c r="D78" s="200" t="s">
        <v>144</v>
      </c>
      <c r="E78" s="2"/>
      <c r="F78" s="55"/>
      <c r="H78" s="64" t="s">
        <v>2182</v>
      </c>
    </row>
    <row r="79" spans="1:8" ht="25" x14ac:dyDescent="0.3">
      <c r="A79" s="10" t="s">
        <v>965</v>
      </c>
      <c r="B79" s="200" t="s">
        <v>144</v>
      </c>
      <c r="C79" s="2" t="s">
        <v>144</v>
      </c>
      <c r="D79" s="200" t="s">
        <v>144</v>
      </c>
      <c r="E79" s="2"/>
      <c r="F79" s="55"/>
      <c r="H79" s="64" t="s">
        <v>2182</v>
      </c>
    </row>
    <row r="80" spans="1:8" ht="37.5" x14ac:dyDescent="0.3">
      <c r="A80" s="16" t="s">
        <v>1728</v>
      </c>
      <c r="B80" s="200" t="s">
        <v>144</v>
      </c>
      <c r="C80" s="2" t="s">
        <v>144</v>
      </c>
      <c r="D80" s="200" t="s">
        <v>144</v>
      </c>
      <c r="E80" s="16" t="s">
        <v>495</v>
      </c>
      <c r="F80" s="55"/>
      <c r="H80" s="64" t="s">
        <v>2182</v>
      </c>
    </row>
    <row r="81" spans="1:8" ht="37.5" x14ac:dyDescent="0.3">
      <c r="A81" s="10" t="s">
        <v>966</v>
      </c>
      <c r="B81" s="200" t="s">
        <v>144</v>
      </c>
      <c r="C81" s="2" t="s">
        <v>144</v>
      </c>
      <c r="D81" s="200" t="s">
        <v>144</v>
      </c>
      <c r="E81" s="16" t="s">
        <v>121</v>
      </c>
      <c r="F81" s="55"/>
      <c r="H81" s="64" t="s">
        <v>2182</v>
      </c>
    </row>
    <row r="82" spans="1:8" ht="37.5" x14ac:dyDescent="0.3">
      <c r="A82" s="10" t="s">
        <v>967</v>
      </c>
      <c r="B82" s="200" t="s">
        <v>144</v>
      </c>
      <c r="C82" s="2" t="s">
        <v>144</v>
      </c>
      <c r="D82" s="200" t="s">
        <v>144</v>
      </c>
      <c r="E82" s="10" t="s">
        <v>968</v>
      </c>
      <c r="F82" s="55"/>
      <c r="H82" s="64" t="s">
        <v>2182</v>
      </c>
    </row>
    <row r="83" spans="1:8" ht="37.5" x14ac:dyDescent="0.3">
      <c r="A83" s="16" t="s">
        <v>1180</v>
      </c>
      <c r="B83" s="200" t="s">
        <v>144</v>
      </c>
      <c r="C83" s="2" t="s">
        <v>144</v>
      </c>
      <c r="D83" s="200" t="s">
        <v>144</v>
      </c>
      <c r="E83" s="2" t="s">
        <v>92</v>
      </c>
      <c r="F83" s="55"/>
      <c r="H83" s="64" t="s">
        <v>2182</v>
      </c>
    </row>
    <row r="84" spans="1:8" ht="62.5" x14ac:dyDescent="0.3">
      <c r="A84" s="16" t="s">
        <v>1181</v>
      </c>
      <c r="B84" s="200" t="s">
        <v>144</v>
      </c>
      <c r="C84" s="2" t="s">
        <v>144</v>
      </c>
      <c r="D84" s="200" t="s">
        <v>144</v>
      </c>
      <c r="E84" s="2"/>
      <c r="F84" s="55"/>
      <c r="H84" s="64" t="s">
        <v>2182</v>
      </c>
    </row>
    <row r="85" spans="1:8" ht="37.5" x14ac:dyDescent="0.3">
      <c r="A85" s="16" t="s">
        <v>969</v>
      </c>
      <c r="B85" s="200" t="s">
        <v>144</v>
      </c>
      <c r="C85" s="2" t="s">
        <v>144</v>
      </c>
      <c r="D85" s="200" t="s">
        <v>144</v>
      </c>
      <c r="E85" s="10" t="s">
        <v>970</v>
      </c>
      <c r="F85" s="55"/>
      <c r="H85" s="64" t="s">
        <v>2182</v>
      </c>
    </row>
    <row r="86" spans="1:8" ht="15.75" customHeight="1" x14ac:dyDescent="0.3">
      <c r="A86" s="16" t="s">
        <v>1182</v>
      </c>
      <c r="B86" s="200"/>
      <c r="C86" s="2"/>
      <c r="D86" s="200" t="s">
        <v>647</v>
      </c>
      <c r="E86" s="11" t="s">
        <v>971</v>
      </c>
      <c r="F86" s="55"/>
      <c r="H86" s="64" t="s">
        <v>2182</v>
      </c>
    </row>
    <row r="87" spans="1:8" ht="50.5" x14ac:dyDescent="0.3">
      <c r="A87" s="16" t="s">
        <v>2376</v>
      </c>
      <c r="B87" s="200" t="s">
        <v>144</v>
      </c>
      <c r="C87" s="2" t="s">
        <v>144</v>
      </c>
      <c r="D87" s="200" t="s">
        <v>144</v>
      </c>
      <c r="E87" s="16" t="s">
        <v>2377</v>
      </c>
      <c r="F87" s="55"/>
      <c r="H87" s="64"/>
    </row>
    <row r="88" spans="1:8" x14ac:dyDescent="0.3">
      <c r="A88" s="16" t="s">
        <v>547</v>
      </c>
      <c r="B88" s="200" t="s">
        <v>646</v>
      </c>
      <c r="C88" s="2" t="s">
        <v>646</v>
      </c>
      <c r="D88" s="200" t="s">
        <v>646</v>
      </c>
      <c r="E88" s="2"/>
      <c r="F88" s="55"/>
      <c r="H88" s="64" t="s">
        <v>2182</v>
      </c>
    </row>
    <row r="89" spans="1:8" ht="37.5" x14ac:dyDescent="0.3">
      <c r="A89" s="16" t="s">
        <v>2589</v>
      </c>
      <c r="B89" s="200" t="s">
        <v>646</v>
      </c>
      <c r="C89" s="2" t="s">
        <v>646</v>
      </c>
      <c r="D89" s="200" t="s">
        <v>646</v>
      </c>
      <c r="E89" s="2"/>
      <c r="F89" s="55"/>
      <c r="H89" s="64" t="s">
        <v>2182</v>
      </c>
    </row>
    <row r="90" spans="1:8" ht="67" customHeight="1" x14ac:dyDescent="0.3">
      <c r="A90" s="160" t="s">
        <v>2896</v>
      </c>
      <c r="B90" s="200" t="s">
        <v>646</v>
      </c>
      <c r="C90" s="2" t="s">
        <v>646</v>
      </c>
      <c r="D90" s="200" t="s">
        <v>646</v>
      </c>
      <c r="E90" s="2"/>
      <c r="F90" s="55"/>
      <c r="G90" s="60" t="s">
        <v>1856</v>
      </c>
      <c r="H90" s="64" t="s">
        <v>2182</v>
      </c>
    </row>
    <row r="91" spans="1:8" ht="20.149999999999999" customHeight="1" x14ac:dyDescent="0.3">
      <c r="A91" s="16" t="s">
        <v>2897</v>
      </c>
      <c r="B91" s="200" t="s">
        <v>646</v>
      </c>
      <c r="C91" s="2" t="s">
        <v>646</v>
      </c>
      <c r="D91" s="200" t="s">
        <v>646</v>
      </c>
      <c r="E91" s="2"/>
      <c r="F91" s="55"/>
      <c r="G91" s="60" t="s">
        <v>1856</v>
      </c>
      <c r="H91" s="64"/>
    </row>
    <row r="92" spans="1:8" ht="25" x14ac:dyDescent="0.3">
      <c r="A92" s="79" t="s">
        <v>2409</v>
      </c>
      <c r="B92" s="200" t="s">
        <v>646</v>
      </c>
      <c r="C92" s="2" t="s">
        <v>646</v>
      </c>
      <c r="D92" s="200" t="s">
        <v>646</v>
      </c>
      <c r="E92" s="2"/>
      <c r="F92" s="55"/>
      <c r="H92" s="64"/>
    </row>
    <row r="93" spans="1:8" ht="28" customHeight="1" x14ac:dyDescent="0.3">
      <c r="A93" s="79" t="s">
        <v>2590</v>
      </c>
      <c r="B93" s="200" t="s">
        <v>646</v>
      </c>
      <c r="C93" s="2" t="s">
        <v>646</v>
      </c>
      <c r="D93" s="200" t="s">
        <v>646</v>
      </c>
      <c r="E93" s="2" t="s">
        <v>122</v>
      </c>
      <c r="F93" s="55"/>
      <c r="G93" s="60" t="s">
        <v>2329</v>
      </c>
      <c r="H93" s="64"/>
    </row>
    <row r="94" spans="1:8" ht="25" x14ac:dyDescent="0.3">
      <c r="A94" s="16" t="s">
        <v>550</v>
      </c>
      <c r="B94" s="200" t="s">
        <v>646</v>
      </c>
      <c r="C94" s="2" t="s">
        <v>646</v>
      </c>
      <c r="D94" s="200" t="s">
        <v>646</v>
      </c>
      <c r="E94" s="16" t="s">
        <v>2679</v>
      </c>
      <c r="F94" s="55"/>
      <c r="G94" s="95"/>
      <c r="H94" s="64" t="s">
        <v>2182</v>
      </c>
    </row>
    <row r="95" spans="1:8" ht="27" customHeight="1" x14ac:dyDescent="0.3">
      <c r="A95" s="16" t="s">
        <v>2898</v>
      </c>
      <c r="B95" s="200" t="s">
        <v>646</v>
      </c>
      <c r="C95" s="2" t="s">
        <v>646</v>
      </c>
      <c r="D95" s="200" t="s">
        <v>646</v>
      </c>
      <c r="E95" s="2"/>
      <c r="F95" s="55"/>
      <c r="G95" s="60" t="s">
        <v>1856</v>
      </c>
      <c r="H95" s="64" t="s">
        <v>2182</v>
      </c>
    </row>
    <row r="96" spans="1:8" ht="87.5" x14ac:dyDescent="0.3">
      <c r="A96" s="16" t="s">
        <v>2899</v>
      </c>
      <c r="B96" s="200" t="s">
        <v>646</v>
      </c>
      <c r="C96" s="2" t="s">
        <v>646</v>
      </c>
      <c r="D96" s="200" t="s">
        <v>646</v>
      </c>
      <c r="E96" s="2" t="s">
        <v>93</v>
      </c>
      <c r="F96" s="55"/>
      <c r="G96" s="60" t="s">
        <v>1856</v>
      </c>
      <c r="H96" s="64"/>
    </row>
    <row r="97" spans="1:8" ht="39" customHeight="1" x14ac:dyDescent="0.3">
      <c r="A97" s="16" t="s">
        <v>2900</v>
      </c>
      <c r="B97" s="200" t="s">
        <v>800</v>
      </c>
      <c r="C97" s="2" t="s">
        <v>843</v>
      </c>
      <c r="D97" s="200" t="s">
        <v>843</v>
      </c>
      <c r="E97" s="16" t="s">
        <v>2901</v>
      </c>
      <c r="F97" s="55"/>
      <c r="G97" s="60" t="s">
        <v>993</v>
      </c>
      <c r="H97" s="64"/>
    </row>
    <row r="98" spans="1:8" ht="25.5" x14ac:dyDescent="0.3">
      <c r="A98" s="16" t="s">
        <v>2230</v>
      </c>
      <c r="B98" s="200" t="s">
        <v>646</v>
      </c>
      <c r="C98" s="2"/>
      <c r="D98" s="200"/>
      <c r="E98" s="2" t="s">
        <v>1474</v>
      </c>
      <c r="F98" s="55"/>
      <c r="H98" s="64" t="s">
        <v>2182</v>
      </c>
    </row>
    <row r="99" spans="1:8" ht="26.25" customHeight="1" x14ac:dyDescent="0.3">
      <c r="A99" s="16" t="s">
        <v>2798</v>
      </c>
      <c r="B99" s="200"/>
      <c r="C99" s="2" t="s">
        <v>843</v>
      </c>
      <c r="D99" s="200" t="s">
        <v>843</v>
      </c>
      <c r="E99" s="16" t="s">
        <v>1475</v>
      </c>
      <c r="F99" s="55"/>
      <c r="H99" s="64" t="s">
        <v>2182</v>
      </c>
    </row>
    <row r="100" spans="1:8" ht="37.5" x14ac:dyDescent="0.3">
      <c r="A100" s="16" t="s">
        <v>2680</v>
      </c>
      <c r="B100" s="200" t="s">
        <v>646</v>
      </c>
      <c r="C100" s="2"/>
      <c r="D100" s="200"/>
      <c r="E100" s="16" t="s">
        <v>2681</v>
      </c>
      <c r="F100" s="55"/>
      <c r="G100" s="95"/>
      <c r="H100" s="64" t="s">
        <v>2182</v>
      </c>
    </row>
    <row r="101" spans="1:8" ht="50" x14ac:dyDescent="0.3">
      <c r="A101" s="16" t="s">
        <v>2902</v>
      </c>
      <c r="B101" s="200"/>
      <c r="C101" s="2"/>
      <c r="D101" s="200" t="s">
        <v>843</v>
      </c>
      <c r="E101" s="2" t="s">
        <v>426</v>
      </c>
      <c r="F101" s="55"/>
      <c r="H101" s="64" t="s">
        <v>2182</v>
      </c>
    </row>
    <row r="102" spans="1:8" ht="38.25" customHeight="1" x14ac:dyDescent="0.3">
      <c r="A102" s="16" t="s">
        <v>2071</v>
      </c>
      <c r="B102" s="200" t="s">
        <v>427</v>
      </c>
      <c r="C102" s="2" t="s">
        <v>646</v>
      </c>
      <c r="D102" s="200" t="s">
        <v>646</v>
      </c>
      <c r="E102" s="16" t="s">
        <v>2610</v>
      </c>
      <c r="F102" s="55"/>
      <c r="H102" s="64" t="s">
        <v>2182</v>
      </c>
    </row>
    <row r="103" spans="1:8" ht="25" x14ac:dyDescent="0.3">
      <c r="A103" s="16" t="s">
        <v>428</v>
      </c>
      <c r="B103" s="200" t="s">
        <v>427</v>
      </c>
      <c r="C103" s="2" t="s">
        <v>646</v>
      </c>
      <c r="D103" s="200"/>
      <c r="E103" s="2" t="s">
        <v>429</v>
      </c>
      <c r="F103" s="55"/>
      <c r="H103" s="64" t="s">
        <v>2182</v>
      </c>
    </row>
    <row r="104" spans="1:8" ht="63" x14ac:dyDescent="0.3">
      <c r="A104" s="16" t="s">
        <v>2290</v>
      </c>
      <c r="B104" s="200" t="s">
        <v>427</v>
      </c>
      <c r="C104" s="2" t="s">
        <v>843</v>
      </c>
      <c r="D104" s="200"/>
      <c r="E104" s="2" t="s">
        <v>1184</v>
      </c>
      <c r="F104" s="55"/>
      <c r="H104" s="64" t="s">
        <v>2182</v>
      </c>
    </row>
    <row r="105" spans="1:8" ht="27.75" customHeight="1" x14ac:dyDescent="0.3">
      <c r="A105" s="16" t="s">
        <v>1183</v>
      </c>
      <c r="B105" s="200" t="s">
        <v>646</v>
      </c>
      <c r="C105" s="2" t="s">
        <v>646</v>
      </c>
      <c r="D105" s="200" t="s">
        <v>646</v>
      </c>
      <c r="E105" s="2" t="s">
        <v>1185</v>
      </c>
      <c r="F105" s="55"/>
      <c r="H105" s="64" t="s">
        <v>2182</v>
      </c>
    </row>
    <row r="106" spans="1:8" x14ac:dyDescent="0.3">
      <c r="A106" s="16" t="s">
        <v>216</v>
      </c>
      <c r="B106" s="200" t="s">
        <v>145</v>
      </c>
      <c r="C106" s="2" t="s">
        <v>145</v>
      </c>
      <c r="D106" s="200" t="s">
        <v>145</v>
      </c>
      <c r="E106" s="2" t="s">
        <v>1852</v>
      </c>
      <c r="F106" s="55"/>
      <c r="H106" s="64" t="s">
        <v>2182</v>
      </c>
    </row>
    <row r="107" spans="1:8" ht="75" x14ac:dyDescent="0.3">
      <c r="A107" s="16" t="s">
        <v>1729</v>
      </c>
      <c r="B107" s="200" t="s">
        <v>145</v>
      </c>
      <c r="C107" s="2" t="s">
        <v>145</v>
      </c>
      <c r="D107" s="200" t="s">
        <v>145</v>
      </c>
      <c r="E107" s="16" t="s">
        <v>1853</v>
      </c>
      <c r="F107" s="55"/>
      <c r="H107" s="64" t="s">
        <v>2182</v>
      </c>
    </row>
    <row r="108" spans="1:8" ht="50" x14ac:dyDescent="0.3">
      <c r="A108" s="17" t="s">
        <v>1477</v>
      </c>
      <c r="B108" s="200" t="s">
        <v>145</v>
      </c>
      <c r="C108" s="2" t="s">
        <v>145</v>
      </c>
      <c r="D108" s="209" t="s">
        <v>843</v>
      </c>
      <c r="E108" s="17" t="s">
        <v>2175</v>
      </c>
      <c r="F108" s="55"/>
      <c r="H108" s="64" t="s">
        <v>2182</v>
      </c>
    </row>
    <row r="109" spans="1:8" ht="37.5" x14ac:dyDescent="0.25">
      <c r="A109" s="153" t="s">
        <v>2828</v>
      </c>
      <c r="B109" s="200"/>
      <c r="C109" s="2"/>
      <c r="D109" s="209" t="s">
        <v>843</v>
      </c>
      <c r="E109" s="17"/>
      <c r="F109" s="55"/>
    </row>
  </sheetData>
  <sheetProtection algorithmName="SHA-512" hashValue="uBbiom8VPOVRKk6ikAeBp8OZn8j4K9/fRMng0Kabq8LjtI29Qz8EahuO19BWebjZSpgrXo/PSu5jJ9Qp9Fb2lA==" saltValue="tMqRmMNfnq4Jg4ZxTeT6Sw==" spinCount="100000" sheet="1" objects="1" scenarios="1" autoFilter="0"/>
  <autoFilter ref="B5:G109" xr:uid="{00000000-0009-0000-0000-000007000000}"/>
  <customSheetViews>
    <customSheetView guid="{33D191C9-AE75-45EC-B301-B583C3381734}" showGridLines="0" fitToPage="1" printArea="1" showAutoFilter="1">
      <pane ySplit="5" topLeftCell="A6" activePane="bottomLeft" state="frozen"/>
      <selection pane="bottomLeft" activeCell="A2" sqref="A2"/>
      <pageMargins left="0.75" right="0.75" top="1" bottom="1" header="0.5" footer="0.5"/>
      <pageSetup paperSize="9" scale="81" fitToHeight="100" orientation="landscape" r:id="rId1"/>
      <headerFooter alignWithMargins="0"/>
      <autoFilter ref="B1:G1" xr:uid="{15B2DD2D-6945-4DA7-8D6A-0E28364F9906}"/>
    </customSheetView>
  </customSheetViews>
  <mergeCells count="1">
    <mergeCell ref="B4:F4"/>
  </mergeCells>
  <phoneticPr fontId="2" type="noConversion"/>
  <dataValidations count="1">
    <dataValidation type="list" allowBlank="1" showInputMessage="1" showErrorMessage="1" sqref="F7:F108" xr:uid="{00000000-0002-0000-0700-000000000000}">
      <formula1>"Akkoord,Opmerking,N.v.t.,,"</formula1>
    </dataValidation>
  </dataValidations>
  <hyperlinks>
    <hyperlink ref="A7" location="Voorraden!A4" display="ALGEMEEN" xr:uid="{00000000-0004-0000-0700-000000000000}"/>
    <hyperlink ref="A62" location="Voorraden!A40" display="Onderhanden projecten in opdracht van derden" xr:uid="{00000000-0004-0000-0700-000001000000}"/>
    <hyperlink ref="A5" location="Voorraden!A2" display="VOORRADEN" xr:uid="{00000000-0004-0000-0700-000002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8197"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8">
    <tabColor rgb="FF951B81"/>
    <pageSetUpPr fitToPage="1"/>
  </sheetPr>
  <dimension ref="A1:J55"/>
  <sheetViews>
    <sheetView showGridLines="0" zoomScaleNormal="100" workbookViewId="0">
      <pane ySplit="5" topLeftCell="A6" activePane="bottomLeft" state="frozen"/>
      <selection activeCell="A119" sqref="A119"/>
      <selection pane="bottomLeft" activeCell="A6" sqref="A6"/>
    </sheetView>
  </sheetViews>
  <sheetFormatPr defaultColWidth="9.1796875" defaultRowHeight="13" x14ac:dyDescent="0.25"/>
  <cols>
    <col min="1" max="1" width="60.7265625" style="19" customWidth="1"/>
    <col min="2" max="2" width="10.7265625" style="19" customWidth="1"/>
    <col min="3" max="3" width="10.81640625" style="19" customWidth="1"/>
    <col min="4" max="4" width="8.453125" style="19" customWidth="1"/>
    <col min="5" max="5" width="14.54296875" style="19" customWidth="1"/>
    <col min="6" max="6" width="10.7265625" style="61" customWidth="1"/>
    <col min="7" max="7" width="25.26953125" style="62" bestFit="1" customWidth="1"/>
    <col min="8" max="10" width="9.1796875" style="61"/>
    <col min="11" max="16384" width="9.1796875" style="19"/>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60"/>
      <c r="H4" s="58"/>
      <c r="I4" s="58"/>
      <c r="J4" s="58"/>
    </row>
    <row r="5" spans="1:10" ht="15.5" x14ac:dyDescent="0.25">
      <c r="A5" s="196" t="s">
        <v>2348</v>
      </c>
      <c r="B5" s="197" t="s">
        <v>642</v>
      </c>
      <c r="C5" s="197" t="s">
        <v>643</v>
      </c>
      <c r="D5" s="197" t="s">
        <v>644</v>
      </c>
      <c r="E5" s="198" t="s">
        <v>645</v>
      </c>
      <c r="F5" s="197" t="s">
        <v>54</v>
      </c>
      <c r="G5" s="199" t="s">
        <v>2858</v>
      </c>
    </row>
    <row r="6" spans="1:10" s="46" customFormat="1" ht="37.5" x14ac:dyDescent="0.3">
      <c r="A6" s="143" t="s">
        <v>2348</v>
      </c>
      <c r="B6" s="200" t="s">
        <v>144</v>
      </c>
      <c r="C6" s="2" t="s">
        <v>144</v>
      </c>
      <c r="D6" s="200" t="s">
        <v>144</v>
      </c>
      <c r="E6" s="16" t="s">
        <v>2570</v>
      </c>
      <c r="F6" s="55"/>
      <c r="G6" s="60"/>
      <c r="H6" s="64"/>
      <c r="I6" s="60"/>
      <c r="J6" s="60"/>
    </row>
    <row r="7" spans="1:10" x14ac:dyDescent="0.3">
      <c r="A7" s="22" t="s">
        <v>863</v>
      </c>
      <c r="B7" s="189" t="s">
        <v>144</v>
      </c>
      <c r="C7" s="23" t="s">
        <v>144</v>
      </c>
      <c r="D7" s="189" t="s">
        <v>144</v>
      </c>
      <c r="E7" s="23"/>
      <c r="F7" s="55"/>
      <c r="H7" s="64"/>
    </row>
    <row r="8" spans="1:10" ht="62.5" x14ac:dyDescent="0.3">
      <c r="A8" s="22" t="s">
        <v>972</v>
      </c>
      <c r="B8" s="189" t="s">
        <v>144</v>
      </c>
      <c r="C8" s="23" t="s">
        <v>144</v>
      </c>
      <c r="D8" s="189" t="s">
        <v>144</v>
      </c>
      <c r="E8" s="23" t="s">
        <v>478</v>
      </c>
      <c r="F8" s="55"/>
      <c r="H8" s="64"/>
    </row>
    <row r="9" spans="1:10" x14ac:dyDescent="0.3">
      <c r="A9" s="86" t="s">
        <v>973</v>
      </c>
      <c r="B9" s="189" t="s">
        <v>144</v>
      </c>
      <c r="C9" s="23" t="s">
        <v>144</v>
      </c>
      <c r="D9" s="189" t="s">
        <v>144</v>
      </c>
      <c r="E9" s="23" t="s">
        <v>974</v>
      </c>
      <c r="F9" s="55"/>
      <c r="H9" s="64"/>
    </row>
    <row r="10" spans="1:10" x14ac:dyDescent="0.3">
      <c r="A10" s="24" t="s">
        <v>130</v>
      </c>
      <c r="B10" s="189" t="s">
        <v>144</v>
      </c>
      <c r="C10" s="23" t="s">
        <v>144</v>
      </c>
      <c r="D10" s="189" t="s">
        <v>144</v>
      </c>
      <c r="E10" s="23"/>
      <c r="F10" s="55"/>
      <c r="H10" s="64"/>
    </row>
    <row r="11" spans="1:10" x14ac:dyDescent="0.3">
      <c r="A11" s="24" t="s">
        <v>131</v>
      </c>
      <c r="B11" s="189" t="s">
        <v>144</v>
      </c>
      <c r="C11" s="23" t="s">
        <v>144</v>
      </c>
      <c r="D11" s="189" t="s">
        <v>144</v>
      </c>
      <c r="E11" s="23"/>
      <c r="F11" s="55"/>
      <c r="H11" s="64"/>
    </row>
    <row r="12" spans="1:10" x14ac:dyDescent="0.3">
      <c r="A12" s="24" t="s">
        <v>1186</v>
      </c>
      <c r="B12" s="189" t="s">
        <v>144</v>
      </c>
      <c r="C12" s="23" t="s">
        <v>144</v>
      </c>
      <c r="D12" s="189" t="s">
        <v>144</v>
      </c>
      <c r="E12" s="23"/>
      <c r="F12" s="55"/>
      <c r="H12" s="64"/>
    </row>
    <row r="13" spans="1:10" ht="25" x14ac:dyDescent="0.3">
      <c r="A13" s="22" t="s">
        <v>975</v>
      </c>
      <c r="B13" s="189" t="s">
        <v>144</v>
      </c>
      <c r="C13" s="23" t="s">
        <v>144</v>
      </c>
      <c r="D13" s="189" t="s">
        <v>144</v>
      </c>
      <c r="E13" s="23" t="s">
        <v>535</v>
      </c>
      <c r="F13" s="55"/>
      <c r="H13" s="64"/>
    </row>
    <row r="14" spans="1:10" ht="50" x14ac:dyDescent="0.3">
      <c r="A14" s="22" t="s">
        <v>551</v>
      </c>
      <c r="B14" s="189" t="s">
        <v>144</v>
      </c>
      <c r="C14" s="23" t="s">
        <v>144</v>
      </c>
      <c r="D14" s="189" t="s">
        <v>144</v>
      </c>
      <c r="E14" s="22" t="s">
        <v>1714</v>
      </c>
      <c r="F14" s="55"/>
      <c r="H14" s="64"/>
    </row>
    <row r="15" spans="1:10" ht="37.5" x14ac:dyDescent="0.3">
      <c r="A15" s="22" t="s">
        <v>2410</v>
      </c>
      <c r="B15" s="189" t="s">
        <v>144</v>
      </c>
      <c r="C15" s="23" t="s">
        <v>144</v>
      </c>
      <c r="D15" s="189" t="s">
        <v>144</v>
      </c>
      <c r="E15" s="23" t="s">
        <v>2611</v>
      </c>
      <c r="F15" s="55"/>
      <c r="H15" s="64"/>
    </row>
    <row r="16" spans="1:10" ht="37.5" x14ac:dyDescent="0.3">
      <c r="A16" s="22" t="s">
        <v>2799</v>
      </c>
      <c r="B16" s="189" t="s">
        <v>144</v>
      </c>
      <c r="C16" s="23" t="s">
        <v>144</v>
      </c>
      <c r="D16" s="189" t="s">
        <v>144</v>
      </c>
      <c r="E16" s="23"/>
      <c r="F16" s="55"/>
      <c r="H16" s="64"/>
    </row>
    <row r="17" spans="1:8" ht="37.5" x14ac:dyDescent="0.3">
      <c r="A17" s="22" t="s">
        <v>123</v>
      </c>
      <c r="B17" s="189" t="s">
        <v>144</v>
      </c>
      <c r="C17" s="23" t="s">
        <v>144</v>
      </c>
      <c r="D17" s="189" t="s">
        <v>144</v>
      </c>
      <c r="E17" s="23"/>
      <c r="F17" s="55"/>
      <c r="H17" s="64"/>
    </row>
    <row r="18" spans="1:8" ht="37.5" x14ac:dyDescent="0.3">
      <c r="A18" s="22" t="s">
        <v>908</v>
      </c>
      <c r="B18" s="189" t="s">
        <v>144</v>
      </c>
      <c r="C18" s="23" t="s">
        <v>144</v>
      </c>
      <c r="D18" s="189" t="s">
        <v>144</v>
      </c>
      <c r="E18" s="23" t="s">
        <v>2571</v>
      </c>
      <c r="F18" s="55"/>
      <c r="H18" s="64"/>
    </row>
    <row r="19" spans="1:8" ht="25" x14ac:dyDescent="0.3">
      <c r="A19" s="22" t="s">
        <v>552</v>
      </c>
      <c r="B19" s="189" t="s">
        <v>144</v>
      </c>
      <c r="C19" s="23" t="s">
        <v>144</v>
      </c>
      <c r="D19" s="189" t="s">
        <v>144</v>
      </c>
      <c r="E19" s="23"/>
      <c r="F19" s="55"/>
      <c r="H19" s="64"/>
    </row>
    <row r="20" spans="1:8" x14ac:dyDescent="0.3">
      <c r="A20" s="22" t="s">
        <v>553</v>
      </c>
      <c r="B20" s="189" t="s">
        <v>144</v>
      </c>
      <c r="C20" s="23" t="s">
        <v>144</v>
      </c>
      <c r="D20" s="189" t="s">
        <v>144</v>
      </c>
      <c r="E20" s="23"/>
      <c r="F20" s="55"/>
      <c r="H20" s="64"/>
    </row>
    <row r="21" spans="1:8" x14ac:dyDescent="0.3">
      <c r="A21" s="24" t="s">
        <v>1187</v>
      </c>
      <c r="B21" s="189" t="s">
        <v>144</v>
      </c>
      <c r="C21" s="23" t="s">
        <v>144</v>
      </c>
      <c r="D21" s="189" t="s">
        <v>144</v>
      </c>
      <c r="E21" s="23"/>
      <c r="F21" s="55"/>
      <c r="H21" s="64"/>
    </row>
    <row r="22" spans="1:8" ht="13.5" customHeight="1" x14ac:dyDescent="0.3">
      <c r="A22" s="24" t="s">
        <v>976</v>
      </c>
      <c r="B22" s="189" t="s">
        <v>144</v>
      </c>
      <c r="C22" s="23" t="s">
        <v>144</v>
      </c>
      <c r="D22" s="189" t="s">
        <v>144</v>
      </c>
      <c r="E22" s="23"/>
      <c r="F22" s="55"/>
      <c r="H22" s="64"/>
    </row>
    <row r="23" spans="1:8" ht="38" x14ac:dyDescent="0.3">
      <c r="A23" s="24" t="s">
        <v>2903</v>
      </c>
      <c r="B23" s="189" t="s">
        <v>144</v>
      </c>
      <c r="C23" s="23" t="s">
        <v>144</v>
      </c>
      <c r="D23" s="189" t="s">
        <v>144</v>
      </c>
      <c r="E23" s="23"/>
      <c r="F23" s="55"/>
      <c r="G23" s="62" t="s">
        <v>993</v>
      </c>
      <c r="H23" s="64"/>
    </row>
    <row r="24" spans="1:8" x14ac:dyDescent="0.3">
      <c r="A24" s="22" t="s">
        <v>302</v>
      </c>
      <c r="B24" s="189" t="s">
        <v>144</v>
      </c>
      <c r="C24" s="23" t="s">
        <v>144</v>
      </c>
      <c r="D24" s="189" t="s">
        <v>144</v>
      </c>
      <c r="E24" s="23"/>
      <c r="F24" s="55"/>
      <c r="H24" s="64"/>
    </row>
    <row r="25" spans="1:8" ht="25" x14ac:dyDescent="0.3">
      <c r="A25" s="22" t="s">
        <v>977</v>
      </c>
      <c r="B25" s="189" t="s">
        <v>144</v>
      </c>
      <c r="C25" s="23" t="s">
        <v>144</v>
      </c>
      <c r="D25" s="189" t="s">
        <v>144</v>
      </c>
      <c r="E25" s="23" t="s">
        <v>909</v>
      </c>
      <c r="F25" s="55"/>
      <c r="H25" s="64"/>
    </row>
    <row r="26" spans="1:8" ht="37.5" x14ac:dyDescent="0.3">
      <c r="A26" s="22" t="s">
        <v>1188</v>
      </c>
      <c r="B26" s="189" t="s">
        <v>144</v>
      </c>
      <c r="C26" s="23" t="s">
        <v>144</v>
      </c>
      <c r="D26" s="189" t="s">
        <v>144</v>
      </c>
      <c r="E26" s="23" t="s">
        <v>978</v>
      </c>
      <c r="F26" s="55"/>
      <c r="H26" s="64"/>
    </row>
    <row r="27" spans="1:8" ht="25" x14ac:dyDescent="0.3">
      <c r="A27" s="22" t="s">
        <v>1189</v>
      </c>
      <c r="B27" s="189" t="s">
        <v>144</v>
      </c>
      <c r="C27" s="23" t="s">
        <v>144</v>
      </c>
      <c r="D27" s="189" t="s">
        <v>144</v>
      </c>
      <c r="E27" s="23"/>
      <c r="F27" s="55"/>
      <c r="H27" s="64"/>
    </row>
    <row r="28" spans="1:8" ht="37.5" x14ac:dyDescent="0.3">
      <c r="A28" s="22" t="s">
        <v>1190</v>
      </c>
      <c r="B28" s="189" t="s">
        <v>144</v>
      </c>
      <c r="C28" s="23" t="s">
        <v>144</v>
      </c>
      <c r="D28" s="189" t="s">
        <v>144</v>
      </c>
      <c r="E28" s="23" t="s">
        <v>910</v>
      </c>
      <c r="F28" s="55"/>
      <c r="H28" s="64"/>
    </row>
    <row r="29" spans="1:8" ht="25.5" x14ac:dyDescent="0.3">
      <c r="A29" s="22" t="s">
        <v>2380</v>
      </c>
      <c r="B29" s="189" t="s">
        <v>144</v>
      </c>
      <c r="C29" s="23" t="s">
        <v>144</v>
      </c>
      <c r="D29" s="189" t="s">
        <v>144</v>
      </c>
      <c r="E29" s="22"/>
      <c r="F29" s="55"/>
      <c r="G29" s="101"/>
      <c r="H29" s="64"/>
    </row>
    <row r="30" spans="1:8" ht="25" x14ac:dyDescent="0.3">
      <c r="A30" s="22" t="s">
        <v>554</v>
      </c>
      <c r="B30" s="189" t="s">
        <v>144</v>
      </c>
      <c r="C30" s="23" t="s">
        <v>144</v>
      </c>
      <c r="D30" s="189" t="s">
        <v>144</v>
      </c>
      <c r="E30" s="23"/>
      <c r="F30" s="55"/>
      <c r="H30" s="64"/>
    </row>
    <row r="31" spans="1:8" x14ac:dyDescent="0.3">
      <c r="A31" s="22" t="s">
        <v>1997</v>
      </c>
      <c r="B31" s="189" t="s">
        <v>144</v>
      </c>
      <c r="C31" s="23" t="s">
        <v>144</v>
      </c>
      <c r="D31" s="189" t="s">
        <v>144</v>
      </c>
      <c r="E31" s="23" t="s">
        <v>898</v>
      </c>
      <c r="F31" s="55"/>
      <c r="H31" s="64"/>
    </row>
    <row r="32" spans="1:8" x14ac:dyDescent="0.3">
      <c r="A32" s="24" t="s">
        <v>1191</v>
      </c>
      <c r="B32" s="189" t="s">
        <v>144</v>
      </c>
      <c r="C32" s="23" t="s">
        <v>144</v>
      </c>
      <c r="D32" s="189" t="s">
        <v>144</v>
      </c>
      <c r="F32" s="55"/>
      <c r="H32" s="64"/>
    </row>
    <row r="33" spans="1:8" x14ac:dyDescent="0.3">
      <c r="A33" s="24" t="s">
        <v>1192</v>
      </c>
      <c r="B33" s="189" t="s">
        <v>144</v>
      </c>
      <c r="C33" s="23" t="s">
        <v>144</v>
      </c>
      <c r="D33" s="189" t="s">
        <v>144</v>
      </c>
      <c r="E33" s="23"/>
      <c r="F33" s="55"/>
      <c r="H33" s="64"/>
    </row>
    <row r="34" spans="1:8" x14ac:dyDescent="0.3">
      <c r="A34" s="24" t="s">
        <v>1193</v>
      </c>
      <c r="B34" s="189" t="s">
        <v>144</v>
      </c>
      <c r="C34" s="23" t="s">
        <v>144</v>
      </c>
      <c r="D34" s="189" t="s">
        <v>144</v>
      </c>
      <c r="E34" s="23"/>
      <c r="F34" s="55"/>
      <c r="H34" s="64"/>
    </row>
    <row r="35" spans="1:8" ht="25" x14ac:dyDescent="0.3">
      <c r="A35" s="24" t="s">
        <v>132</v>
      </c>
      <c r="B35" s="189" t="s">
        <v>144</v>
      </c>
      <c r="C35" s="23" t="s">
        <v>144</v>
      </c>
      <c r="D35" s="189" t="s">
        <v>144</v>
      </c>
      <c r="E35" s="23"/>
      <c r="F35" s="55"/>
      <c r="H35" s="64"/>
    </row>
    <row r="36" spans="1:8" x14ac:dyDescent="0.3">
      <c r="A36" s="22" t="s">
        <v>547</v>
      </c>
      <c r="B36" s="189" t="s">
        <v>646</v>
      </c>
      <c r="C36" s="23" t="s">
        <v>646</v>
      </c>
      <c r="D36" s="189" t="s">
        <v>646</v>
      </c>
      <c r="E36" s="23"/>
      <c r="F36" s="140"/>
      <c r="H36" s="64"/>
    </row>
    <row r="37" spans="1:8" x14ac:dyDescent="0.3">
      <c r="A37" s="22" t="s">
        <v>1194</v>
      </c>
      <c r="B37" s="189" t="s">
        <v>646</v>
      </c>
      <c r="C37" s="23" t="s">
        <v>646</v>
      </c>
      <c r="D37" s="189" t="s">
        <v>646</v>
      </c>
      <c r="E37" s="23"/>
      <c r="F37" s="140"/>
      <c r="H37" s="64"/>
    </row>
    <row r="38" spans="1:8" x14ac:dyDescent="0.3">
      <c r="A38" s="22" t="s">
        <v>476</v>
      </c>
      <c r="B38" s="189" t="s">
        <v>646</v>
      </c>
      <c r="C38" s="23" t="s">
        <v>646</v>
      </c>
      <c r="D38" s="189"/>
      <c r="E38" s="23" t="s">
        <v>477</v>
      </c>
      <c r="F38" s="140"/>
      <c r="H38" s="64"/>
    </row>
    <row r="39" spans="1:8" x14ac:dyDescent="0.3">
      <c r="A39" s="22" t="s">
        <v>1195</v>
      </c>
      <c r="B39" s="189" t="s">
        <v>646</v>
      </c>
      <c r="C39" s="23" t="s">
        <v>843</v>
      </c>
      <c r="D39" s="189"/>
      <c r="E39" s="23"/>
      <c r="F39" s="140"/>
      <c r="H39" s="64"/>
    </row>
    <row r="40" spans="1:8" x14ac:dyDescent="0.3">
      <c r="A40" s="22" t="s">
        <v>1196</v>
      </c>
      <c r="B40" s="189" t="s">
        <v>646</v>
      </c>
      <c r="C40" s="23" t="s">
        <v>646</v>
      </c>
      <c r="D40" s="189"/>
      <c r="E40" s="23"/>
      <c r="F40" s="140"/>
      <c r="H40" s="64"/>
    </row>
    <row r="41" spans="1:8" x14ac:dyDescent="0.3">
      <c r="A41" s="22" t="s">
        <v>1197</v>
      </c>
      <c r="B41" s="189" t="s">
        <v>646</v>
      </c>
      <c r="C41" s="23" t="s">
        <v>646</v>
      </c>
      <c r="D41" s="189"/>
      <c r="E41" s="23"/>
      <c r="F41" s="140"/>
      <c r="H41" s="64"/>
    </row>
    <row r="42" spans="1:8" x14ac:dyDescent="0.3">
      <c r="A42" s="22" t="s">
        <v>1198</v>
      </c>
      <c r="B42" s="189" t="s">
        <v>646</v>
      </c>
      <c r="C42" s="23" t="s">
        <v>646</v>
      </c>
      <c r="D42" s="189"/>
      <c r="E42" s="23"/>
      <c r="F42" s="140"/>
      <c r="H42" s="64"/>
    </row>
    <row r="43" spans="1:8" x14ac:dyDescent="0.3">
      <c r="A43" s="22" t="s">
        <v>1199</v>
      </c>
      <c r="B43" s="189" t="s">
        <v>646</v>
      </c>
      <c r="C43" s="23" t="s">
        <v>646</v>
      </c>
      <c r="D43" s="189" t="s">
        <v>646</v>
      </c>
      <c r="E43" s="23"/>
      <c r="F43" s="140"/>
      <c r="H43" s="64"/>
    </row>
    <row r="44" spans="1:8" x14ac:dyDescent="0.3">
      <c r="A44" s="22" t="s">
        <v>1200</v>
      </c>
      <c r="B44" s="189" t="s">
        <v>646</v>
      </c>
      <c r="C44" s="23" t="s">
        <v>843</v>
      </c>
      <c r="D44" s="189"/>
      <c r="E44" s="23"/>
      <c r="F44" s="140"/>
      <c r="H44" s="64"/>
    </row>
    <row r="45" spans="1:8" x14ac:dyDescent="0.3">
      <c r="A45" s="22" t="s">
        <v>1478</v>
      </c>
      <c r="B45" s="189" t="s">
        <v>646</v>
      </c>
      <c r="C45" s="23" t="s">
        <v>843</v>
      </c>
      <c r="D45" s="189"/>
      <c r="E45" s="23" t="s">
        <v>153</v>
      </c>
      <c r="F45" s="140"/>
      <c r="H45" s="64"/>
    </row>
    <row r="46" spans="1:8" ht="25" x14ac:dyDescent="0.3">
      <c r="A46" s="22" t="s">
        <v>1730</v>
      </c>
      <c r="B46" s="189" t="s">
        <v>646</v>
      </c>
      <c r="C46" s="23" t="s">
        <v>646</v>
      </c>
      <c r="D46" s="189"/>
      <c r="E46" s="23" t="s">
        <v>478</v>
      </c>
      <c r="F46" s="140"/>
      <c r="H46" s="64"/>
    </row>
    <row r="47" spans="1:8" x14ac:dyDescent="0.3">
      <c r="A47" s="22" t="s">
        <v>979</v>
      </c>
      <c r="B47" s="189"/>
      <c r="C47" s="23"/>
      <c r="D47" s="189" t="s">
        <v>646</v>
      </c>
      <c r="E47" s="23"/>
      <c r="F47" s="140"/>
      <c r="H47" s="64"/>
    </row>
    <row r="48" spans="1:8" ht="80.150000000000006" customHeight="1" x14ac:dyDescent="0.3">
      <c r="A48" s="22" t="s">
        <v>2904</v>
      </c>
      <c r="B48" s="189" t="s">
        <v>646</v>
      </c>
      <c r="C48" s="23" t="s">
        <v>646</v>
      </c>
      <c r="D48" s="189" t="s">
        <v>647</v>
      </c>
      <c r="E48" s="23" t="s">
        <v>479</v>
      </c>
      <c r="F48" s="140"/>
      <c r="G48" s="62" t="s">
        <v>1856</v>
      </c>
      <c r="H48" s="64"/>
    </row>
    <row r="49" spans="1:8" ht="25" x14ac:dyDescent="0.3">
      <c r="A49" s="22" t="s">
        <v>2072</v>
      </c>
      <c r="B49" s="189" t="s">
        <v>646</v>
      </c>
      <c r="C49" s="23" t="s">
        <v>646</v>
      </c>
      <c r="D49" s="189" t="s">
        <v>646</v>
      </c>
      <c r="E49" s="23"/>
      <c r="F49" s="140"/>
      <c r="H49" s="64"/>
    </row>
    <row r="50" spans="1:8" ht="62.5" x14ac:dyDescent="0.3">
      <c r="A50" s="22" t="s">
        <v>1731</v>
      </c>
      <c r="B50" s="189" t="s">
        <v>646</v>
      </c>
      <c r="C50" s="23" t="s">
        <v>646</v>
      </c>
      <c r="D50" s="189" t="s">
        <v>646</v>
      </c>
      <c r="E50" s="23" t="s">
        <v>154</v>
      </c>
      <c r="F50" s="55"/>
      <c r="H50" s="64"/>
    </row>
    <row r="51" spans="1:8" x14ac:dyDescent="0.3">
      <c r="A51" s="22" t="s">
        <v>599</v>
      </c>
      <c r="B51" s="189" t="s">
        <v>145</v>
      </c>
      <c r="C51" s="23" t="s">
        <v>145</v>
      </c>
      <c r="D51" s="189" t="s">
        <v>145</v>
      </c>
      <c r="E51" s="23"/>
      <c r="F51" s="55"/>
      <c r="H51" s="64"/>
    </row>
    <row r="52" spans="1:8" ht="37.5" x14ac:dyDescent="0.3">
      <c r="A52" s="22" t="s">
        <v>1201</v>
      </c>
      <c r="B52" s="189" t="s">
        <v>145</v>
      </c>
      <c r="C52" s="23" t="s">
        <v>145</v>
      </c>
      <c r="D52" s="189" t="s">
        <v>145</v>
      </c>
      <c r="E52" s="23"/>
      <c r="F52" s="55"/>
      <c r="H52" s="64"/>
    </row>
    <row r="53" spans="1:8" ht="37.5" x14ac:dyDescent="0.3">
      <c r="A53" s="96" t="s">
        <v>1202</v>
      </c>
      <c r="B53" s="189" t="s">
        <v>145</v>
      </c>
      <c r="C53" s="23" t="s">
        <v>145</v>
      </c>
      <c r="D53" s="189" t="s">
        <v>145</v>
      </c>
      <c r="E53" s="97"/>
      <c r="F53" s="55"/>
      <c r="G53" s="61"/>
      <c r="H53" s="64"/>
    </row>
    <row r="54" spans="1:8" ht="37.5" x14ac:dyDescent="0.3">
      <c r="A54" s="25" t="s">
        <v>1203</v>
      </c>
      <c r="B54" s="189" t="s">
        <v>145</v>
      </c>
      <c r="C54" s="23" t="s">
        <v>145</v>
      </c>
      <c r="D54" s="189" t="s">
        <v>145</v>
      </c>
      <c r="E54" s="26"/>
      <c r="F54" s="55"/>
      <c r="H54" s="64"/>
    </row>
    <row r="55" spans="1:8" ht="37.5" x14ac:dyDescent="0.3">
      <c r="A55" s="25" t="s">
        <v>2346</v>
      </c>
      <c r="B55" s="189" t="s">
        <v>145</v>
      </c>
      <c r="C55" s="23" t="s">
        <v>145</v>
      </c>
      <c r="D55" s="189" t="s">
        <v>145</v>
      </c>
      <c r="E55" s="26"/>
      <c r="F55" s="55"/>
      <c r="H55" s="64"/>
    </row>
  </sheetData>
  <sheetProtection algorithmName="SHA-512" hashValue="VAnUFWiFVdDIIkEhVi0crLIa0P0CtJEh3Hyvgy+miOW+AHimlTNf5JMdndhnVYxpUGbChdeHL61U3JuEgqwz0g==" saltValue="OxYSDBIQMzY/xS6lQi2fnw==" spinCount="100000" sheet="1" objects="1" scenarios="1" autoFilter="0"/>
  <autoFilter ref="B5:G55" xr:uid="{00000000-0009-0000-0000-000008000000}"/>
  <customSheetViews>
    <customSheetView guid="{33D191C9-AE75-45EC-B301-B583C3381734}" showGridLines="0" fitToPage="1" printArea="1" showAutoFilter="1">
      <pane ySplit="5" topLeftCell="A42" activePane="bottomLeft" state="frozen"/>
      <selection pane="bottomLeft"/>
      <pageMargins left="0.75" right="0.75" top="1" bottom="1" header="0.5" footer="0.5"/>
      <pageSetup paperSize="9" scale="78" fitToHeight="100" orientation="landscape" r:id="rId1"/>
      <headerFooter alignWithMargins="0"/>
      <autoFilter ref="B1:G1" xr:uid="{91482434-5F04-46DC-A6CC-EF6F12C83310}"/>
    </customSheetView>
  </customSheetViews>
  <mergeCells count="1">
    <mergeCell ref="B4:F4"/>
  </mergeCells>
  <phoneticPr fontId="2" type="noConversion"/>
  <dataValidations count="1">
    <dataValidation type="list" allowBlank="1" showInputMessage="1" showErrorMessage="1" sqref="F6:F55" xr:uid="{00000000-0002-0000-0800-000000000000}">
      <formula1>"Akkoord,Opmerking,N.v.t.,,"</formula1>
    </dataValidation>
  </dataValidations>
  <hyperlinks>
    <hyperlink ref="A5" location="Kortl.vord.overl.activa!A2" display="KORTLOPENDE VORDERINGEN EN OVERLOPENDE ACTIVA" xr:uid="{00000000-0004-0000-0800-000000000000}"/>
    <hyperlink ref="A6" location="'Vorderingen overl.activa'!A4" display="Algemeen" xr:uid="{00000000-0004-0000-0800-000001000000}"/>
  </hyperlinks>
  <pageMargins left="0.75" right="0.75" top="1" bottom="1" header="0.5" footer="0.5"/>
  <pageSetup paperSize="9" scale="78"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9">
    <tabColor rgb="FF951B81"/>
    <pageSetUpPr fitToPage="1"/>
  </sheetPr>
  <dimension ref="A1:J39"/>
  <sheetViews>
    <sheetView showGridLines="0" zoomScaleNormal="100" workbookViewId="0">
      <pane ySplit="5" topLeftCell="A6" activePane="bottomLeft" state="frozen"/>
      <selection activeCell="A119" sqref="A119"/>
      <selection pane="bottomLeft" activeCell="A6" sqref="A6"/>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2.1796875" style="6"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6" t="str">
        <f>CONCATENATE("Klant en boekjaar: ",Klantnummer,"; ",Naam_klant,";  ",Boekjaar)</f>
        <v xml:space="preserve">Klant en boekjaar: ; ;  </v>
      </c>
      <c r="C4" s="255"/>
      <c r="D4" s="255"/>
      <c r="E4" s="255"/>
      <c r="F4" s="255"/>
    </row>
    <row r="5" spans="1:10" ht="15.5" x14ac:dyDescent="0.25">
      <c r="A5" s="214" t="s">
        <v>480</v>
      </c>
      <c r="B5" s="215" t="s">
        <v>642</v>
      </c>
      <c r="C5" s="215" t="s">
        <v>643</v>
      </c>
      <c r="D5" s="215" t="s">
        <v>644</v>
      </c>
      <c r="E5" s="216" t="s">
        <v>645</v>
      </c>
      <c r="F5" s="215" t="s">
        <v>54</v>
      </c>
      <c r="G5" s="199" t="s">
        <v>2858</v>
      </c>
    </row>
    <row r="6" spans="1:10" s="46" customFormat="1" ht="25" x14ac:dyDescent="0.3">
      <c r="A6" s="52" t="s">
        <v>480</v>
      </c>
      <c r="B6" s="200" t="s">
        <v>144</v>
      </c>
      <c r="C6" s="2" t="s">
        <v>144</v>
      </c>
      <c r="D6" s="200" t="s">
        <v>144</v>
      </c>
      <c r="E6" s="16" t="s">
        <v>2572</v>
      </c>
      <c r="F6" s="55"/>
      <c r="H6" s="64"/>
      <c r="I6" s="60"/>
      <c r="J6" s="60"/>
    </row>
    <row r="7" spans="1:10" x14ac:dyDescent="0.3">
      <c r="A7" s="10" t="s">
        <v>863</v>
      </c>
      <c r="B7" s="200" t="s">
        <v>144</v>
      </c>
      <c r="C7" s="2" t="s">
        <v>144</v>
      </c>
      <c r="D7" s="200" t="s">
        <v>144</v>
      </c>
      <c r="E7" s="11"/>
      <c r="F7" s="55"/>
      <c r="H7" s="64"/>
    </row>
    <row r="8" spans="1:10" ht="63" customHeight="1" x14ac:dyDescent="0.3">
      <c r="A8" s="16" t="s">
        <v>1732</v>
      </c>
      <c r="B8" s="200" t="s">
        <v>144</v>
      </c>
      <c r="C8" s="2" t="s">
        <v>144</v>
      </c>
      <c r="D8" s="200" t="s">
        <v>144</v>
      </c>
      <c r="E8" s="11" t="s">
        <v>980</v>
      </c>
      <c r="F8" s="55"/>
      <c r="H8" s="64"/>
    </row>
    <row r="9" spans="1:10" x14ac:dyDescent="0.3">
      <c r="A9" s="10" t="s">
        <v>981</v>
      </c>
      <c r="B9" s="200" t="s">
        <v>144</v>
      </c>
      <c r="C9" s="2" t="s">
        <v>144</v>
      </c>
      <c r="D9" s="200" t="s">
        <v>144</v>
      </c>
      <c r="E9" s="11" t="s">
        <v>982</v>
      </c>
      <c r="F9" s="55"/>
      <c r="H9" s="64"/>
    </row>
    <row r="10" spans="1:10" x14ac:dyDescent="0.3">
      <c r="A10" s="15" t="s">
        <v>133</v>
      </c>
      <c r="B10" s="200" t="s">
        <v>144</v>
      </c>
      <c r="C10" s="2" t="s">
        <v>144</v>
      </c>
      <c r="D10" s="200" t="s">
        <v>144</v>
      </c>
      <c r="E10" s="11"/>
      <c r="F10" s="55"/>
      <c r="H10" s="64"/>
    </row>
    <row r="11" spans="1:10" x14ac:dyDescent="0.3">
      <c r="A11" s="79" t="s">
        <v>1204</v>
      </c>
      <c r="B11" s="200" t="s">
        <v>144</v>
      </c>
      <c r="C11" s="2" t="s">
        <v>144</v>
      </c>
      <c r="D11" s="200" t="s">
        <v>144</v>
      </c>
      <c r="E11" s="11"/>
      <c r="F11" s="55"/>
      <c r="H11" s="64"/>
    </row>
    <row r="12" spans="1:10" ht="26.25" customHeight="1" x14ac:dyDescent="0.3">
      <c r="A12" s="16" t="s">
        <v>1205</v>
      </c>
      <c r="B12" s="200" t="s">
        <v>144</v>
      </c>
      <c r="C12" s="2" t="s">
        <v>144</v>
      </c>
      <c r="D12" s="200" t="s">
        <v>144</v>
      </c>
      <c r="E12" s="11"/>
      <c r="F12" s="55"/>
      <c r="H12" s="64"/>
    </row>
    <row r="13" spans="1:10" x14ac:dyDescent="0.3">
      <c r="A13" s="16" t="s">
        <v>1206</v>
      </c>
      <c r="B13" s="200" t="s">
        <v>144</v>
      </c>
      <c r="C13" s="2" t="s">
        <v>144</v>
      </c>
      <c r="D13" s="200" t="s">
        <v>144</v>
      </c>
      <c r="E13" s="11"/>
      <c r="F13" s="55"/>
      <c r="H13" s="64"/>
    </row>
    <row r="14" spans="1:10" x14ac:dyDescent="0.3">
      <c r="A14" s="10" t="s">
        <v>302</v>
      </c>
      <c r="B14" s="200" t="s">
        <v>144</v>
      </c>
      <c r="C14" s="2" t="s">
        <v>144</v>
      </c>
      <c r="D14" s="200" t="s">
        <v>144</v>
      </c>
      <c r="E14" s="11"/>
      <c r="F14" s="55"/>
      <c r="H14" s="64"/>
    </row>
    <row r="15" spans="1:10" ht="25" x14ac:dyDescent="0.3">
      <c r="A15" s="16" t="s">
        <v>2906</v>
      </c>
      <c r="B15" s="200" t="s">
        <v>144</v>
      </c>
      <c r="C15" s="2" t="s">
        <v>144</v>
      </c>
      <c r="D15" s="200" t="s">
        <v>144</v>
      </c>
      <c r="E15" s="16" t="s">
        <v>2907</v>
      </c>
      <c r="F15" s="55"/>
      <c r="G15" s="60" t="s">
        <v>1856</v>
      </c>
      <c r="H15" s="64"/>
    </row>
    <row r="16" spans="1:10" ht="29.15" customHeight="1" x14ac:dyDescent="0.3">
      <c r="A16" s="16" t="s">
        <v>2905</v>
      </c>
      <c r="B16" s="200"/>
      <c r="C16" s="2"/>
      <c r="D16" s="200" t="s">
        <v>144</v>
      </c>
      <c r="E16" s="16" t="s">
        <v>1369</v>
      </c>
      <c r="F16" s="55"/>
      <c r="G16" s="60" t="s">
        <v>993</v>
      </c>
      <c r="H16" s="64"/>
    </row>
    <row r="17" spans="1:8" ht="29.15" customHeight="1" x14ac:dyDescent="0.3">
      <c r="A17" s="16" t="s">
        <v>2909</v>
      </c>
      <c r="B17" s="200"/>
      <c r="C17" s="2"/>
      <c r="D17" s="200" t="s">
        <v>144</v>
      </c>
      <c r="E17" s="16" t="s">
        <v>2908</v>
      </c>
      <c r="F17" s="55"/>
      <c r="G17" s="60" t="s">
        <v>1856</v>
      </c>
      <c r="H17" s="64"/>
    </row>
    <row r="18" spans="1:8" ht="50.5" x14ac:dyDescent="0.3">
      <c r="A18" s="16" t="s">
        <v>1207</v>
      </c>
      <c r="B18" s="200" t="s">
        <v>144</v>
      </c>
      <c r="C18" s="2" t="s">
        <v>144</v>
      </c>
      <c r="D18" s="200" t="s">
        <v>144</v>
      </c>
      <c r="E18" s="11" t="s">
        <v>29</v>
      </c>
      <c r="F18" s="55"/>
      <c r="H18" s="64"/>
    </row>
    <row r="19" spans="1:8" ht="38" x14ac:dyDescent="0.3">
      <c r="A19" s="10" t="s">
        <v>983</v>
      </c>
      <c r="B19" s="200" t="s">
        <v>144</v>
      </c>
      <c r="C19" s="2" t="s">
        <v>144</v>
      </c>
      <c r="D19" s="200" t="s">
        <v>144</v>
      </c>
      <c r="E19" s="10" t="s">
        <v>462</v>
      </c>
      <c r="F19" s="55"/>
      <c r="H19" s="64"/>
    </row>
    <row r="20" spans="1:8" ht="38" x14ac:dyDescent="0.3">
      <c r="A20" s="10" t="s">
        <v>984</v>
      </c>
      <c r="B20" s="200" t="s">
        <v>144</v>
      </c>
      <c r="C20" s="2" t="s">
        <v>144</v>
      </c>
      <c r="D20" s="200" t="s">
        <v>144</v>
      </c>
      <c r="E20" s="16" t="s">
        <v>2591</v>
      </c>
      <c r="F20" s="55"/>
      <c r="H20" s="64"/>
    </row>
    <row r="21" spans="1:8" ht="38.5" x14ac:dyDescent="0.3">
      <c r="A21" s="16" t="s">
        <v>1733</v>
      </c>
      <c r="B21" s="200" t="s">
        <v>144</v>
      </c>
      <c r="C21" s="2" t="s">
        <v>144</v>
      </c>
      <c r="D21" s="200" t="s">
        <v>144</v>
      </c>
      <c r="E21" s="11" t="s">
        <v>30</v>
      </c>
      <c r="F21" s="55"/>
      <c r="H21" s="64"/>
    </row>
    <row r="22" spans="1:8" ht="51" x14ac:dyDescent="0.3">
      <c r="A22" s="16" t="s">
        <v>1734</v>
      </c>
      <c r="B22" s="200" t="s">
        <v>144</v>
      </c>
      <c r="C22" s="2" t="s">
        <v>144</v>
      </c>
      <c r="D22" s="200" t="s">
        <v>144</v>
      </c>
      <c r="E22" s="10" t="s">
        <v>465</v>
      </c>
      <c r="F22" s="55"/>
      <c r="H22" s="64"/>
    </row>
    <row r="23" spans="1:8" ht="39" customHeight="1" x14ac:dyDescent="0.3">
      <c r="A23" s="16" t="s">
        <v>1854</v>
      </c>
      <c r="B23" s="200" t="s">
        <v>144</v>
      </c>
      <c r="C23" s="2" t="s">
        <v>144</v>
      </c>
      <c r="D23" s="200" t="s">
        <v>144</v>
      </c>
      <c r="E23" s="11"/>
      <c r="F23" s="55"/>
      <c r="H23" s="64"/>
    </row>
    <row r="24" spans="1:8" x14ac:dyDescent="0.3">
      <c r="A24" s="10" t="s">
        <v>547</v>
      </c>
      <c r="B24" s="200" t="s">
        <v>646</v>
      </c>
      <c r="C24" s="2" t="s">
        <v>646</v>
      </c>
      <c r="D24" s="200" t="s">
        <v>646</v>
      </c>
      <c r="E24" s="11"/>
      <c r="F24" s="55"/>
      <c r="H24" s="64"/>
    </row>
    <row r="25" spans="1:8" x14ac:dyDescent="0.3">
      <c r="A25" s="16" t="s">
        <v>1112</v>
      </c>
      <c r="B25" s="200" t="s">
        <v>646</v>
      </c>
      <c r="C25" s="2" t="s">
        <v>646</v>
      </c>
      <c r="D25" s="200" t="s">
        <v>646</v>
      </c>
      <c r="E25" s="11" t="s">
        <v>985</v>
      </c>
      <c r="F25" s="55"/>
      <c r="H25" s="64"/>
    </row>
    <row r="26" spans="1:8" x14ac:dyDescent="0.3">
      <c r="A26" s="10" t="s">
        <v>71</v>
      </c>
      <c r="B26" s="200" t="s">
        <v>646</v>
      </c>
      <c r="C26" s="2" t="s">
        <v>843</v>
      </c>
      <c r="D26" s="200"/>
      <c r="E26" s="11"/>
      <c r="F26" s="55"/>
      <c r="H26" s="64"/>
    </row>
    <row r="27" spans="1:8" x14ac:dyDescent="0.3">
      <c r="A27" s="79" t="s">
        <v>1208</v>
      </c>
      <c r="B27" s="200" t="s">
        <v>646</v>
      </c>
      <c r="C27" s="2" t="s">
        <v>843</v>
      </c>
      <c r="D27" s="200"/>
      <c r="E27" s="11"/>
      <c r="F27" s="55"/>
      <c r="H27" s="64"/>
    </row>
    <row r="28" spans="1:8" x14ac:dyDescent="0.3">
      <c r="A28" s="15" t="s">
        <v>134</v>
      </c>
      <c r="B28" s="200" t="s">
        <v>646</v>
      </c>
      <c r="C28" s="2" t="s">
        <v>843</v>
      </c>
      <c r="D28" s="200"/>
      <c r="E28" s="11"/>
      <c r="F28" s="55"/>
      <c r="H28" s="64"/>
    </row>
    <row r="29" spans="1:8" ht="15.75" customHeight="1" x14ac:dyDescent="0.3">
      <c r="A29" s="10" t="s">
        <v>72</v>
      </c>
      <c r="B29" s="200" t="s">
        <v>646</v>
      </c>
      <c r="C29" s="2" t="s">
        <v>843</v>
      </c>
      <c r="D29" s="200"/>
      <c r="E29" s="11" t="s">
        <v>73</v>
      </c>
      <c r="F29" s="55"/>
      <c r="H29" s="64"/>
    </row>
    <row r="30" spans="1:8" ht="37.5" x14ac:dyDescent="0.3">
      <c r="A30" s="16" t="s">
        <v>2682</v>
      </c>
      <c r="B30" s="200" t="s">
        <v>646</v>
      </c>
      <c r="C30" s="2" t="s">
        <v>843</v>
      </c>
      <c r="D30" s="200"/>
      <c r="E30" s="11" t="s">
        <v>757</v>
      </c>
      <c r="F30" s="55"/>
      <c r="H30" s="64"/>
    </row>
    <row r="31" spans="1:8" ht="25" x14ac:dyDescent="0.3">
      <c r="A31" s="10" t="s">
        <v>986</v>
      </c>
      <c r="B31" s="200" t="s">
        <v>646</v>
      </c>
      <c r="C31" s="2" t="s">
        <v>843</v>
      </c>
      <c r="D31" s="200"/>
      <c r="E31" s="2" t="s">
        <v>2075</v>
      </c>
      <c r="F31" s="55"/>
      <c r="H31" s="64"/>
    </row>
    <row r="32" spans="1:8" ht="25" x14ac:dyDescent="0.3">
      <c r="A32" s="10" t="s">
        <v>2073</v>
      </c>
      <c r="B32" s="200"/>
      <c r="C32" s="2"/>
      <c r="D32" s="200" t="s">
        <v>843</v>
      </c>
      <c r="E32" s="2" t="s">
        <v>2074</v>
      </c>
      <c r="F32" s="55"/>
      <c r="H32" s="64"/>
    </row>
    <row r="33" spans="1:8" x14ac:dyDescent="0.3">
      <c r="A33" s="10" t="s">
        <v>74</v>
      </c>
      <c r="B33" s="200" t="s">
        <v>646</v>
      </c>
      <c r="C33" s="2" t="s">
        <v>646</v>
      </c>
      <c r="D33" s="200" t="s">
        <v>646</v>
      </c>
      <c r="E33" s="11" t="s">
        <v>987</v>
      </c>
      <c r="F33" s="55"/>
      <c r="H33" s="64"/>
    </row>
    <row r="34" spans="1:8" ht="37.5" x14ac:dyDescent="0.3">
      <c r="A34" s="10" t="s">
        <v>988</v>
      </c>
      <c r="B34" s="200" t="s">
        <v>646</v>
      </c>
      <c r="C34" s="2" t="s">
        <v>646</v>
      </c>
      <c r="D34" s="200" t="s">
        <v>843</v>
      </c>
      <c r="E34" s="11"/>
      <c r="F34" s="55"/>
      <c r="H34" s="64"/>
    </row>
    <row r="35" spans="1:8" x14ac:dyDescent="0.3">
      <c r="A35" s="10" t="s">
        <v>599</v>
      </c>
      <c r="B35" s="200" t="s">
        <v>145</v>
      </c>
      <c r="C35" s="2" t="s">
        <v>145</v>
      </c>
      <c r="D35" s="200" t="s">
        <v>145</v>
      </c>
      <c r="E35" s="11"/>
      <c r="F35" s="55"/>
      <c r="H35" s="64"/>
    </row>
    <row r="36" spans="1:8" ht="54" customHeight="1" x14ac:dyDescent="0.3">
      <c r="A36" s="16" t="s">
        <v>2381</v>
      </c>
      <c r="B36" s="200" t="s">
        <v>145</v>
      </c>
      <c r="C36" s="2" t="s">
        <v>145</v>
      </c>
      <c r="D36" s="200" t="s">
        <v>145</v>
      </c>
      <c r="E36" s="11"/>
      <c r="F36" s="55"/>
      <c r="H36" s="64"/>
    </row>
    <row r="37" spans="1:8" ht="25" x14ac:dyDescent="0.3">
      <c r="A37" s="10" t="s">
        <v>652</v>
      </c>
      <c r="B37" s="200" t="s">
        <v>145</v>
      </c>
      <c r="C37" s="2" t="s">
        <v>145</v>
      </c>
      <c r="D37" s="200" t="s">
        <v>145</v>
      </c>
      <c r="E37" s="11"/>
      <c r="F37" s="55"/>
      <c r="H37" s="64"/>
    </row>
    <row r="38" spans="1:8" ht="25" x14ac:dyDescent="0.3">
      <c r="A38" s="10" t="s">
        <v>653</v>
      </c>
      <c r="B38" s="200" t="s">
        <v>145</v>
      </c>
      <c r="C38" s="2" t="s">
        <v>145</v>
      </c>
      <c r="D38" s="200" t="s">
        <v>145</v>
      </c>
      <c r="E38" s="11"/>
      <c r="F38" s="55"/>
      <c r="H38" s="64"/>
    </row>
    <row r="39" spans="1:8" x14ac:dyDescent="0.25">
      <c r="A39" s="5"/>
    </row>
  </sheetData>
  <sheetProtection algorithmName="SHA-512" hashValue="uSM7W7+vk9ajqdi37wYCEoQknAQNbskmf5R8Sw7SOauUfy+tEH4qYKPXusBedLl8TEYtEpCnFyLHOrWdRZOyFg==" saltValue="mjmeRN8eg3pZg38nOxi2TA==" spinCount="100000" sheet="1" objects="1" scenarios="1" autoFilter="0"/>
  <autoFilter ref="B5:G38" xr:uid="{00000000-0009-0000-0000-000009000000}"/>
  <customSheetViews>
    <customSheetView guid="{33D191C9-AE75-45EC-B301-B583C3381734}" showGridLines="0" fitToPage="1" printArea="1" showAutoFilter="1">
      <pane ySplit="5" topLeftCell="A27" activePane="bottomLeft" state="frozen"/>
      <selection pane="bottomLeft"/>
      <pageMargins left="0.75" right="0.75" top="1" bottom="1" header="0.5" footer="0.5"/>
      <pageSetup paperSize="9" scale="81" fitToHeight="100" orientation="landscape" r:id="rId1"/>
      <headerFooter alignWithMargins="0"/>
      <autoFilter ref="B1:G1" xr:uid="{E70AC91D-0E98-4637-9ABA-EB0CB344F56A}"/>
    </customSheetView>
  </customSheetViews>
  <mergeCells count="1">
    <mergeCell ref="B4:F4"/>
  </mergeCells>
  <phoneticPr fontId="2" type="noConversion"/>
  <dataValidations count="1">
    <dataValidation type="list" allowBlank="1" showInputMessage="1" showErrorMessage="1" sqref="F6:F38" xr:uid="{00000000-0002-0000-0900-000000000000}">
      <formula1>"Akkoord,Opmerking,N.v.t.,,"</formula1>
    </dataValidation>
  </dataValidations>
  <hyperlinks>
    <hyperlink ref="A6" location="Effecten!A4" display="Algemeen" xr:uid="{00000000-0004-0000-0900-000000000000}"/>
    <hyperlink ref="A5" location="Effecten!A2" display="EFFECTEN" xr:uid="{00000000-0004-0000-0900-000001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5"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0">
    <tabColor rgb="FF951B81"/>
    <pageSetUpPr fitToPage="1"/>
  </sheetPr>
  <dimension ref="A1:J19"/>
  <sheetViews>
    <sheetView showGridLines="0" zoomScaleNormal="100" workbookViewId="0">
      <pane ySplit="5" topLeftCell="A6" activePane="bottomLeft" state="frozen"/>
      <selection activeCell="A119" sqref="A119"/>
      <selection pane="bottomLeft" activeCell="A6" sqref="A6"/>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0.7265625" style="6"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4" t="str">
        <f>CONCATENATE("Klant en boekjaar: ",Klantnummer,"; ",Naam_klant,";  ",Boekjaar)</f>
        <v xml:space="preserve">Klant en boekjaar: ; ;  </v>
      </c>
      <c r="C4" s="255"/>
      <c r="D4" s="255"/>
      <c r="E4" s="255"/>
      <c r="F4" s="255"/>
    </row>
    <row r="5" spans="1:10" ht="15.5" x14ac:dyDescent="0.25">
      <c r="A5" s="214" t="s">
        <v>75</v>
      </c>
      <c r="B5" s="215" t="s">
        <v>642</v>
      </c>
      <c r="C5" s="215" t="s">
        <v>643</v>
      </c>
      <c r="D5" s="215" t="s">
        <v>644</v>
      </c>
      <c r="E5" s="216" t="s">
        <v>645</v>
      </c>
      <c r="F5" s="215" t="s">
        <v>54</v>
      </c>
      <c r="G5" s="199" t="s">
        <v>2858</v>
      </c>
    </row>
    <row r="6" spans="1:10" s="46" customFormat="1" x14ac:dyDescent="0.3">
      <c r="A6" s="39" t="s">
        <v>668</v>
      </c>
      <c r="B6" s="217" t="s">
        <v>144</v>
      </c>
      <c r="C6" s="36" t="s">
        <v>144</v>
      </c>
      <c r="D6" s="217" t="s">
        <v>144</v>
      </c>
      <c r="E6" s="35"/>
      <c r="F6" s="144"/>
      <c r="G6" s="60"/>
      <c r="H6" s="64"/>
      <c r="I6" s="60"/>
      <c r="J6" s="60"/>
    </row>
    <row r="7" spans="1:10" x14ac:dyDescent="0.3">
      <c r="A7" s="2" t="s">
        <v>863</v>
      </c>
      <c r="B7" s="200" t="s">
        <v>144</v>
      </c>
      <c r="C7" s="2" t="s">
        <v>144</v>
      </c>
      <c r="D7" s="200" t="s">
        <v>144</v>
      </c>
      <c r="E7" s="59" t="s">
        <v>1209</v>
      </c>
      <c r="F7" s="55"/>
      <c r="H7" s="64"/>
    </row>
    <row r="8" spans="1:10" x14ac:dyDescent="0.3">
      <c r="A8" s="10" t="s">
        <v>77</v>
      </c>
      <c r="B8" s="200" t="s">
        <v>144</v>
      </c>
      <c r="C8" s="2" t="s">
        <v>144</v>
      </c>
      <c r="D8" s="200" t="s">
        <v>144</v>
      </c>
      <c r="E8" s="11"/>
      <c r="F8" s="55"/>
      <c r="H8" s="64"/>
    </row>
    <row r="9" spans="1:10" ht="25" x14ac:dyDescent="0.3">
      <c r="A9" s="16" t="s">
        <v>1210</v>
      </c>
      <c r="B9" s="200" t="s">
        <v>144</v>
      </c>
      <c r="C9" s="2" t="s">
        <v>144</v>
      </c>
      <c r="D9" s="200" t="s">
        <v>144</v>
      </c>
      <c r="E9" s="11"/>
      <c r="F9" s="55"/>
      <c r="H9" s="64"/>
    </row>
    <row r="10" spans="1:10" x14ac:dyDescent="0.3">
      <c r="A10" s="10" t="s">
        <v>302</v>
      </c>
      <c r="B10" s="200" t="s">
        <v>144</v>
      </c>
      <c r="C10" s="2" t="s">
        <v>144</v>
      </c>
      <c r="D10" s="200" t="s">
        <v>144</v>
      </c>
      <c r="E10" s="11"/>
      <c r="F10" s="55"/>
      <c r="H10" s="64"/>
    </row>
    <row r="11" spans="1:10" x14ac:dyDescent="0.3">
      <c r="A11" s="10" t="s">
        <v>78</v>
      </c>
      <c r="B11" s="200" t="s">
        <v>144</v>
      </c>
      <c r="C11" s="2" t="s">
        <v>144</v>
      </c>
      <c r="D11" s="200" t="s">
        <v>144</v>
      </c>
      <c r="E11" s="11" t="s">
        <v>79</v>
      </c>
      <c r="F11" s="55"/>
      <c r="H11" s="64"/>
    </row>
    <row r="12" spans="1:10" ht="25" x14ac:dyDescent="0.3">
      <c r="A12" s="10" t="s">
        <v>80</v>
      </c>
      <c r="B12" s="200" t="s">
        <v>144</v>
      </c>
      <c r="C12" s="2" t="s">
        <v>144</v>
      </c>
      <c r="D12" s="200" t="s">
        <v>144</v>
      </c>
      <c r="E12" s="11"/>
      <c r="F12" s="55"/>
      <c r="H12" s="64"/>
    </row>
    <row r="13" spans="1:10" x14ac:dyDescent="0.3">
      <c r="A13" s="10" t="s">
        <v>547</v>
      </c>
      <c r="B13" s="200" t="s">
        <v>646</v>
      </c>
      <c r="C13" s="2" t="s">
        <v>646</v>
      </c>
      <c r="D13" s="200" t="s">
        <v>81</v>
      </c>
      <c r="E13" s="11"/>
      <c r="F13" s="55"/>
      <c r="H13" s="64"/>
    </row>
    <row r="14" spans="1:10" x14ac:dyDescent="0.3">
      <c r="A14" s="16" t="s">
        <v>1112</v>
      </c>
      <c r="B14" s="200" t="s">
        <v>646</v>
      </c>
      <c r="C14" s="2" t="s">
        <v>646</v>
      </c>
      <c r="D14" s="200" t="s">
        <v>81</v>
      </c>
      <c r="E14" s="11"/>
      <c r="F14" s="55"/>
      <c r="H14" s="64"/>
    </row>
    <row r="15" spans="1:10" ht="37.5" x14ac:dyDescent="0.3">
      <c r="A15" s="10" t="s">
        <v>466</v>
      </c>
      <c r="B15" s="200" t="s">
        <v>646</v>
      </c>
      <c r="C15" s="2" t="s">
        <v>843</v>
      </c>
      <c r="D15" s="200"/>
      <c r="E15" s="11" t="s">
        <v>467</v>
      </c>
      <c r="F15" s="55"/>
      <c r="H15" s="64"/>
    </row>
    <row r="16" spans="1:10" ht="37.5" x14ac:dyDescent="0.3">
      <c r="A16" s="10" t="s">
        <v>989</v>
      </c>
      <c r="B16" s="200" t="s">
        <v>646</v>
      </c>
      <c r="C16" s="2" t="s">
        <v>646</v>
      </c>
      <c r="D16" s="200" t="s">
        <v>81</v>
      </c>
      <c r="E16" s="11" t="s">
        <v>990</v>
      </c>
      <c r="F16" s="55"/>
      <c r="H16" s="64"/>
    </row>
    <row r="17" spans="1:8" x14ac:dyDescent="0.3">
      <c r="A17" s="10" t="s">
        <v>599</v>
      </c>
      <c r="B17" s="200" t="s">
        <v>145</v>
      </c>
      <c r="C17" s="2" t="s">
        <v>145</v>
      </c>
      <c r="D17" s="200" t="s">
        <v>145</v>
      </c>
      <c r="E17" s="11"/>
      <c r="F17" s="55"/>
      <c r="H17" s="64"/>
    </row>
    <row r="18" spans="1:8" ht="50" x14ac:dyDescent="0.3">
      <c r="A18" s="10" t="s">
        <v>654</v>
      </c>
      <c r="B18" s="209" t="s">
        <v>145</v>
      </c>
      <c r="C18" s="4" t="s">
        <v>145</v>
      </c>
      <c r="D18" s="209" t="s">
        <v>145</v>
      </c>
      <c r="E18" s="13"/>
      <c r="F18" s="55"/>
      <c r="H18" s="64"/>
    </row>
    <row r="19" spans="1:8" x14ac:dyDescent="0.25">
      <c r="A19" s="5"/>
    </row>
  </sheetData>
  <sheetProtection algorithmName="SHA-512" hashValue="/2HtQY2tQE+oobpgdR/FfeSX15vU9fozQurXEdes51vHREQ8ve5ETHU+GiFzWrgx4jGi3YbwDAloPiFKrmcSLQ==" saltValue="b6fhjBJosAK1F3bansgpAA==" spinCount="100000" sheet="1" objects="1" scenarios="1" autoFilter="0"/>
  <autoFilter ref="B5:G18" xr:uid="{00000000-0009-0000-0000-00000A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2" fitToHeight="100" orientation="landscape" r:id="rId1"/>
      <headerFooter alignWithMargins="0"/>
      <autoFilter ref="B1:G1" xr:uid="{68C4812F-CA25-4DA3-BBA5-EC5A4329A353}"/>
    </customSheetView>
  </customSheetViews>
  <mergeCells count="1">
    <mergeCell ref="B4:F4"/>
  </mergeCells>
  <phoneticPr fontId="2" type="noConversion"/>
  <dataValidations count="1">
    <dataValidation type="list" allowBlank="1" showInputMessage="1" showErrorMessage="1" sqref="F6:F18" xr:uid="{00000000-0002-0000-0A00-000000000000}">
      <formula1>"Akkoord,Opmerking,N.v.t.,,"</formula1>
    </dataValidation>
  </dataValidations>
  <hyperlinks>
    <hyperlink ref="A5" location="'Liquide middelen'!A2" display="LIQUIDE MIDDELEN" xr:uid="{00000000-0004-0000-0A00-000000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1273" r:id="rId5" name="Button 9">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1">
    <tabColor rgb="FF951B81"/>
    <pageSetUpPr fitToPage="1"/>
  </sheetPr>
  <dimension ref="A1:J18"/>
  <sheetViews>
    <sheetView showGridLines="0" zoomScaleNormal="100" workbookViewId="0">
      <pane ySplit="5" topLeftCell="A6" activePane="bottomLeft" state="frozen"/>
      <selection activeCell="A119" sqref="A119"/>
      <selection pane="bottomLeft" activeCell="A6" sqref="A6"/>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1.453125" style="6" bestFit="1"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6" t="str">
        <f>CONCATENATE("Klant en boekjaar: ",Klantnummer,"; ",Naam_klant,";  ",Boekjaar)</f>
        <v xml:space="preserve">Klant en boekjaar: ; ;  </v>
      </c>
      <c r="C4" s="255"/>
      <c r="D4" s="255"/>
      <c r="E4" s="255"/>
      <c r="F4" s="255"/>
    </row>
    <row r="5" spans="1:10" ht="15.5" x14ac:dyDescent="0.25">
      <c r="A5" s="218" t="s">
        <v>269</v>
      </c>
      <c r="B5" s="219" t="s">
        <v>642</v>
      </c>
      <c r="C5" s="219" t="s">
        <v>643</v>
      </c>
      <c r="D5" s="219" t="s">
        <v>644</v>
      </c>
      <c r="E5" s="220" t="s">
        <v>645</v>
      </c>
      <c r="F5" s="219" t="s">
        <v>54</v>
      </c>
      <c r="G5" s="199" t="s">
        <v>2858</v>
      </c>
    </row>
    <row r="6" spans="1:10" s="46" customFormat="1" ht="25" x14ac:dyDescent="0.3">
      <c r="A6" s="39" t="s">
        <v>269</v>
      </c>
      <c r="B6" s="200" t="s">
        <v>144</v>
      </c>
      <c r="C6" s="2" t="s">
        <v>144</v>
      </c>
      <c r="D6" s="200" t="s">
        <v>144</v>
      </c>
      <c r="E6" s="16" t="s">
        <v>2573</v>
      </c>
      <c r="F6" s="55"/>
      <c r="G6" s="60"/>
      <c r="H6" s="64"/>
      <c r="I6" s="60"/>
      <c r="J6" s="60"/>
    </row>
    <row r="7" spans="1:10" x14ac:dyDescent="0.3">
      <c r="A7" s="27" t="s">
        <v>450</v>
      </c>
      <c r="B7" s="208" t="s">
        <v>144</v>
      </c>
      <c r="C7" s="32" t="s">
        <v>144</v>
      </c>
      <c r="D7" s="208" t="s">
        <v>144</v>
      </c>
      <c r="E7" s="14" t="s">
        <v>451</v>
      </c>
      <c r="F7" s="55"/>
      <c r="H7" s="64"/>
    </row>
    <row r="8" spans="1:10" ht="13.5" customHeight="1" x14ac:dyDescent="0.3">
      <c r="A8" s="10" t="s">
        <v>991</v>
      </c>
      <c r="B8" s="200" t="s">
        <v>144</v>
      </c>
      <c r="C8" s="2" t="s">
        <v>144</v>
      </c>
      <c r="D8" s="200" t="s">
        <v>144</v>
      </c>
      <c r="E8" s="11"/>
      <c r="F8" s="55"/>
      <c r="H8" s="64"/>
    </row>
    <row r="9" spans="1:10" ht="13.5" customHeight="1" x14ac:dyDescent="0.3">
      <c r="A9" s="16" t="s">
        <v>1479</v>
      </c>
      <c r="B9" s="200" t="s">
        <v>144</v>
      </c>
      <c r="C9" s="2" t="s">
        <v>144</v>
      </c>
      <c r="D9" s="200" t="s">
        <v>144</v>
      </c>
      <c r="E9" s="2" t="s">
        <v>222</v>
      </c>
      <c r="F9" s="55"/>
      <c r="H9" s="64"/>
    </row>
    <row r="10" spans="1:10" x14ac:dyDescent="0.3">
      <c r="A10" s="16" t="s">
        <v>1480</v>
      </c>
      <c r="B10" s="200" t="s">
        <v>144</v>
      </c>
      <c r="C10" s="2" t="s">
        <v>144</v>
      </c>
      <c r="D10" s="200" t="s">
        <v>144</v>
      </c>
      <c r="E10" s="11"/>
      <c r="F10" s="55"/>
      <c r="H10" s="64"/>
    </row>
    <row r="11" spans="1:10" x14ac:dyDescent="0.3">
      <c r="A11" s="10" t="s">
        <v>135</v>
      </c>
      <c r="B11" s="200" t="s">
        <v>144</v>
      </c>
      <c r="C11" s="2" t="s">
        <v>144</v>
      </c>
      <c r="D11" s="200" t="s">
        <v>144</v>
      </c>
      <c r="E11" s="11"/>
      <c r="F11" s="55"/>
      <c r="H11" s="64"/>
    </row>
    <row r="12" spans="1:10" ht="25" x14ac:dyDescent="0.3">
      <c r="A12" s="16" t="s">
        <v>1735</v>
      </c>
      <c r="B12" s="200" t="s">
        <v>144</v>
      </c>
      <c r="C12" s="2" t="s">
        <v>144</v>
      </c>
      <c r="D12" s="200" t="s">
        <v>144</v>
      </c>
      <c r="E12" s="11"/>
      <c r="F12" s="55"/>
      <c r="H12" s="64"/>
    </row>
    <row r="13" spans="1:10" x14ac:dyDescent="0.3">
      <c r="A13" s="10" t="s">
        <v>136</v>
      </c>
      <c r="B13" s="200" t="s">
        <v>144</v>
      </c>
      <c r="C13" s="2" t="s">
        <v>144</v>
      </c>
      <c r="D13" s="200" t="s">
        <v>144</v>
      </c>
      <c r="E13" s="11"/>
      <c r="F13" s="55"/>
      <c r="H13" s="64"/>
    </row>
    <row r="14" spans="1:10" x14ac:dyDescent="0.3">
      <c r="A14" s="10" t="s">
        <v>547</v>
      </c>
      <c r="B14" s="200" t="s">
        <v>646</v>
      </c>
      <c r="C14" s="2" t="s">
        <v>646</v>
      </c>
      <c r="D14" s="200" t="s">
        <v>646</v>
      </c>
      <c r="E14" s="11"/>
      <c r="F14" s="55"/>
      <c r="H14" s="64"/>
    </row>
    <row r="15" spans="1:10" ht="25" x14ac:dyDescent="0.3">
      <c r="A15" s="10" t="s">
        <v>1481</v>
      </c>
      <c r="B15" s="200" t="s">
        <v>646</v>
      </c>
      <c r="C15" s="2" t="s">
        <v>646</v>
      </c>
      <c r="D15" s="200" t="s">
        <v>646</v>
      </c>
      <c r="E15" s="2" t="s">
        <v>70</v>
      </c>
      <c r="F15" s="55"/>
      <c r="H15" s="64"/>
    </row>
    <row r="16" spans="1:10" ht="54" customHeight="1" x14ac:dyDescent="0.3">
      <c r="A16" s="16" t="s">
        <v>2683</v>
      </c>
      <c r="B16" s="200" t="s">
        <v>646</v>
      </c>
      <c r="D16" s="200"/>
      <c r="E16" s="2" t="s">
        <v>222</v>
      </c>
      <c r="F16" s="55"/>
      <c r="G16" s="95"/>
      <c r="H16" s="64"/>
    </row>
    <row r="17" spans="1:8" x14ac:dyDescent="0.3">
      <c r="A17" s="10" t="s">
        <v>491</v>
      </c>
      <c r="B17" s="200"/>
      <c r="C17" s="2" t="s">
        <v>646</v>
      </c>
      <c r="D17" s="200"/>
      <c r="E17" s="11"/>
      <c r="F17" s="55"/>
      <c r="H17" s="64"/>
    </row>
    <row r="18" spans="1:8" x14ac:dyDescent="0.3">
      <c r="A18" s="12" t="s">
        <v>492</v>
      </c>
      <c r="B18" s="209"/>
      <c r="C18" s="4"/>
      <c r="D18" s="209" t="s">
        <v>647</v>
      </c>
      <c r="E18" s="13"/>
      <c r="F18" s="55"/>
      <c r="H18" s="64"/>
    </row>
  </sheetData>
  <sheetProtection algorithmName="SHA-512" hashValue="cu12hPvBC0ir9r2li5vbrZVkZUfgT3gyNihY6nLZ7Mv0EftR+z+R7CByblV2hYAa+v7APrgNvY+uw5UcyIvMpA==" saltValue="hGsYnLMiCWtxN1/Zluosvw==" spinCount="100000" sheet="1" objects="1" scenarios="1" autoFilter="0"/>
  <autoFilter ref="B5:G18" xr:uid="{00000000-0009-0000-0000-00000B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1" fitToHeight="100" orientation="landscape" r:id="rId1"/>
      <headerFooter alignWithMargins="0"/>
      <autoFilter ref="B1:G1" xr:uid="{527BDE29-095E-4141-91C3-615D03CBB1EE}"/>
    </customSheetView>
  </customSheetViews>
  <mergeCells count="1">
    <mergeCell ref="B4:F4"/>
  </mergeCells>
  <phoneticPr fontId="2" type="noConversion"/>
  <dataValidations count="1">
    <dataValidation type="list" allowBlank="1" showInputMessage="1" showErrorMessage="1" sqref="F6:F18" xr:uid="{00000000-0002-0000-0B00-000000000000}">
      <formula1>"Akkoord,Opmerking,N.v.t.,,"</formula1>
    </dataValidation>
  </dataValidations>
  <hyperlinks>
    <hyperlink ref="A5" location="'Niet in de balans opgen activa'!A2" display="NIET IN DE BALANS OPGENOMEN ACTIVA" xr:uid="{00000000-0004-0000-0B00-000000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293"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2">
    <tabColor rgb="FF951B81"/>
    <pageSetUpPr fitToPage="1"/>
  </sheetPr>
  <dimension ref="A1:J173"/>
  <sheetViews>
    <sheetView showGridLines="0" zoomScaleNormal="100" workbookViewId="0">
      <pane ySplit="5" topLeftCell="A135" activePane="bottomLeft" state="frozen"/>
      <selection activeCell="A119" sqref="A119"/>
      <selection pane="bottomLeft" activeCell="A160" sqref="A160"/>
    </sheetView>
  </sheetViews>
  <sheetFormatPr defaultColWidth="9.1796875" defaultRowHeight="13" x14ac:dyDescent="0.25"/>
  <cols>
    <col min="1" max="1" width="60.7265625" style="19" customWidth="1"/>
    <col min="2" max="2" width="10.7265625" style="19" customWidth="1"/>
    <col min="3" max="3" width="10.81640625" style="19" customWidth="1"/>
    <col min="4" max="4" width="8.453125" style="19" customWidth="1"/>
    <col min="5" max="5" width="17.1796875" style="19" customWidth="1"/>
    <col min="6" max="6" width="10.7265625" style="61" customWidth="1"/>
    <col min="7" max="7" width="55.26953125" style="62" customWidth="1"/>
    <col min="8" max="10" width="9.1796875" style="61"/>
    <col min="11" max="16384" width="9.1796875" style="19"/>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s="6" customFormat="1" ht="20.149999999999999" customHeight="1" x14ac:dyDescent="0.25">
      <c r="B4" s="256" t="str">
        <f>CONCATENATE("Klant en boekjaar: ",Klantnummer,"; ",Naam_klant,";  ",Boekjaar)</f>
        <v xml:space="preserve">Klant en boekjaar: ; ;  </v>
      </c>
      <c r="C4" s="255"/>
      <c r="D4" s="255"/>
      <c r="E4" s="255"/>
      <c r="F4" s="255"/>
      <c r="G4" s="60"/>
      <c r="H4" s="58"/>
      <c r="I4" s="58"/>
      <c r="J4" s="58"/>
    </row>
    <row r="5" spans="1:10" ht="15.5" x14ac:dyDescent="0.25">
      <c r="A5" s="214" t="s">
        <v>493</v>
      </c>
      <c r="B5" s="219" t="s">
        <v>642</v>
      </c>
      <c r="C5" s="219" t="s">
        <v>643</v>
      </c>
      <c r="D5" s="219" t="s">
        <v>644</v>
      </c>
      <c r="E5" s="220" t="s">
        <v>645</v>
      </c>
      <c r="F5" s="219" t="s">
        <v>54</v>
      </c>
      <c r="G5" s="199" t="s">
        <v>2858</v>
      </c>
    </row>
    <row r="6" spans="1:10" s="48" customFormat="1" ht="25" x14ac:dyDescent="0.3">
      <c r="A6" s="42" t="s">
        <v>493</v>
      </c>
      <c r="B6" s="221" t="s">
        <v>144</v>
      </c>
      <c r="C6" s="21" t="s">
        <v>144</v>
      </c>
      <c r="D6" s="221" t="s">
        <v>144</v>
      </c>
      <c r="E6" s="20" t="s">
        <v>2574</v>
      </c>
      <c r="F6" s="55"/>
      <c r="G6" s="62"/>
      <c r="H6" s="64" t="s">
        <v>2182</v>
      </c>
      <c r="I6" s="62"/>
      <c r="J6" s="62"/>
    </row>
    <row r="7" spans="1:10" ht="25" x14ac:dyDescent="0.3">
      <c r="A7" s="22" t="s">
        <v>494</v>
      </c>
      <c r="B7" s="189" t="s">
        <v>144</v>
      </c>
      <c r="C7" s="23" t="s">
        <v>144</v>
      </c>
      <c r="D7" s="189" t="s">
        <v>144</v>
      </c>
      <c r="E7" s="23"/>
      <c r="F7" s="55"/>
      <c r="H7" s="64" t="s">
        <v>2182</v>
      </c>
    </row>
    <row r="8" spans="1:10" ht="25" x14ac:dyDescent="0.3">
      <c r="A8" s="22" t="s">
        <v>555</v>
      </c>
      <c r="B8" s="189" t="s">
        <v>144</v>
      </c>
      <c r="C8" s="23" t="s">
        <v>144</v>
      </c>
      <c r="D8" s="189" t="s">
        <v>144</v>
      </c>
      <c r="E8" s="23"/>
      <c r="F8" s="55"/>
      <c r="H8" s="64" t="s">
        <v>2182</v>
      </c>
    </row>
    <row r="9" spans="1:10" x14ac:dyDescent="0.3">
      <c r="A9" s="22" t="s">
        <v>753</v>
      </c>
      <c r="B9" s="189" t="s">
        <v>144</v>
      </c>
      <c r="C9" s="23" t="s">
        <v>144</v>
      </c>
      <c r="D9" s="189" t="s">
        <v>144</v>
      </c>
      <c r="E9" s="22" t="s">
        <v>556</v>
      </c>
      <c r="F9" s="55"/>
      <c r="H9" s="64" t="s">
        <v>2182</v>
      </c>
    </row>
    <row r="10" spans="1:10" ht="25" x14ac:dyDescent="0.3">
      <c r="A10" s="22" t="s">
        <v>1680</v>
      </c>
      <c r="B10" s="189" t="s">
        <v>144</v>
      </c>
      <c r="C10" s="23" t="s">
        <v>144</v>
      </c>
      <c r="D10" s="189" t="s">
        <v>144</v>
      </c>
      <c r="E10" s="22" t="s">
        <v>2592</v>
      </c>
      <c r="F10" s="55"/>
      <c r="H10" s="64" t="s">
        <v>2182</v>
      </c>
    </row>
    <row r="11" spans="1:10" x14ac:dyDescent="0.3">
      <c r="A11" s="24" t="s">
        <v>1119</v>
      </c>
      <c r="B11" s="189" t="s">
        <v>144</v>
      </c>
      <c r="C11" s="23" t="s">
        <v>144</v>
      </c>
      <c r="D11" s="189" t="s">
        <v>144</v>
      </c>
      <c r="E11" s="23"/>
      <c r="F11" s="55"/>
      <c r="H11" s="64" t="s">
        <v>2182</v>
      </c>
    </row>
    <row r="12" spans="1:10" x14ac:dyDescent="0.3">
      <c r="A12" s="24" t="s">
        <v>1211</v>
      </c>
      <c r="B12" s="189" t="s">
        <v>144</v>
      </c>
      <c r="C12" s="23" t="s">
        <v>144</v>
      </c>
      <c r="D12" s="189" t="s">
        <v>144</v>
      </c>
      <c r="E12" s="23"/>
      <c r="F12" s="55"/>
      <c r="H12" s="64" t="s">
        <v>2182</v>
      </c>
    </row>
    <row r="13" spans="1:10" x14ac:dyDescent="0.3">
      <c r="A13" s="24" t="s">
        <v>2800</v>
      </c>
      <c r="B13" s="189" t="s">
        <v>144</v>
      </c>
      <c r="C13" s="23" t="s">
        <v>144</v>
      </c>
      <c r="D13" s="189" t="s">
        <v>144</v>
      </c>
      <c r="E13" s="23" t="s">
        <v>754</v>
      </c>
      <c r="F13" s="55"/>
      <c r="H13" s="64" t="s">
        <v>2182</v>
      </c>
    </row>
    <row r="14" spans="1:10" x14ac:dyDescent="0.3">
      <c r="A14" s="24" t="s">
        <v>1212</v>
      </c>
      <c r="B14" s="189" t="s">
        <v>144</v>
      </c>
      <c r="C14" s="23" t="s">
        <v>144</v>
      </c>
      <c r="D14" s="189" t="s">
        <v>144</v>
      </c>
      <c r="E14" s="23"/>
      <c r="F14" s="55"/>
      <c r="H14" s="64" t="s">
        <v>2182</v>
      </c>
    </row>
    <row r="15" spans="1:10" x14ac:dyDescent="0.3">
      <c r="A15" s="24" t="s">
        <v>2849</v>
      </c>
      <c r="B15" s="189" t="s">
        <v>144</v>
      </c>
      <c r="C15" s="23" t="s">
        <v>144</v>
      </c>
      <c r="D15" s="189" t="s">
        <v>144</v>
      </c>
      <c r="E15" s="23"/>
      <c r="F15" s="55"/>
      <c r="H15" s="64" t="s">
        <v>2182</v>
      </c>
    </row>
    <row r="16" spans="1:10" x14ac:dyDescent="0.3">
      <c r="A16" s="24" t="s">
        <v>2848</v>
      </c>
      <c r="B16" s="189" t="s">
        <v>144</v>
      </c>
      <c r="C16" s="23" t="s">
        <v>144</v>
      </c>
      <c r="D16" s="189" t="s">
        <v>144</v>
      </c>
      <c r="E16" s="22" t="s">
        <v>448</v>
      </c>
      <c r="F16" s="55"/>
      <c r="H16" s="64" t="s">
        <v>2182</v>
      </c>
    </row>
    <row r="17" spans="1:8" ht="25" x14ac:dyDescent="0.3">
      <c r="A17" s="22" t="s">
        <v>739</v>
      </c>
      <c r="B17" s="189" t="s">
        <v>144</v>
      </c>
      <c r="C17" s="23" t="s">
        <v>144</v>
      </c>
      <c r="D17" s="189" t="s">
        <v>144</v>
      </c>
      <c r="E17" s="23"/>
      <c r="F17" s="55"/>
      <c r="H17" s="64" t="s">
        <v>2182</v>
      </c>
    </row>
    <row r="18" spans="1:8" ht="50" x14ac:dyDescent="0.3">
      <c r="A18" s="22" t="s">
        <v>740</v>
      </c>
      <c r="B18" s="189" t="s">
        <v>646</v>
      </c>
      <c r="C18" s="23"/>
      <c r="D18" s="189"/>
      <c r="E18" s="23" t="s">
        <v>449</v>
      </c>
      <c r="F18" s="55"/>
      <c r="H18" s="64" t="s">
        <v>2182</v>
      </c>
    </row>
    <row r="19" spans="1:8" x14ac:dyDescent="0.3">
      <c r="A19" s="22" t="s">
        <v>406</v>
      </c>
      <c r="B19" s="189" t="s">
        <v>144</v>
      </c>
      <c r="C19" s="23" t="s">
        <v>144</v>
      </c>
      <c r="D19" s="189" t="s">
        <v>144</v>
      </c>
      <c r="E19" s="23"/>
      <c r="F19" s="55"/>
      <c r="H19" s="64" t="s">
        <v>2182</v>
      </c>
    </row>
    <row r="20" spans="1:8" ht="37.5" x14ac:dyDescent="0.3">
      <c r="A20" s="22" t="s">
        <v>1482</v>
      </c>
      <c r="B20" s="189" t="s">
        <v>144</v>
      </c>
      <c r="C20" s="23" t="s">
        <v>144</v>
      </c>
      <c r="D20" s="189" t="s">
        <v>144</v>
      </c>
      <c r="E20" s="22" t="s">
        <v>534</v>
      </c>
      <c r="F20" s="55"/>
      <c r="H20" s="64" t="s">
        <v>2182</v>
      </c>
    </row>
    <row r="21" spans="1:8" ht="37.5" x14ac:dyDescent="0.3">
      <c r="A21" s="22" t="s">
        <v>1681</v>
      </c>
      <c r="B21" s="189" t="s">
        <v>144</v>
      </c>
      <c r="C21" s="23" t="s">
        <v>144</v>
      </c>
      <c r="D21" s="189" t="s">
        <v>144</v>
      </c>
      <c r="E21" s="22" t="s">
        <v>804</v>
      </c>
      <c r="F21" s="55"/>
      <c r="H21" s="64" t="s">
        <v>2182</v>
      </c>
    </row>
    <row r="22" spans="1:8" ht="25" x14ac:dyDescent="0.3">
      <c r="A22" s="22" t="s">
        <v>1682</v>
      </c>
      <c r="B22" s="189" t="s">
        <v>144</v>
      </c>
      <c r="C22" s="23" t="s">
        <v>144</v>
      </c>
      <c r="D22" s="189" t="s">
        <v>144</v>
      </c>
      <c r="E22" s="23" t="s">
        <v>181</v>
      </c>
      <c r="F22" s="55"/>
      <c r="H22" s="64" t="s">
        <v>2182</v>
      </c>
    </row>
    <row r="23" spans="1:8" ht="50" x14ac:dyDescent="0.3">
      <c r="A23" s="22" t="s">
        <v>536</v>
      </c>
      <c r="B23" s="189" t="s">
        <v>144</v>
      </c>
      <c r="C23" s="23" t="s">
        <v>144</v>
      </c>
      <c r="D23" s="189" t="s">
        <v>144</v>
      </c>
      <c r="E23" s="23"/>
      <c r="F23" s="55"/>
      <c r="H23" s="64" t="s">
        <v>2182</v>
      </c>
    </row>
    <row r="24" spans="1:8" ht="118.5" customHeight="1" x14ac:dyDescent="0.3">
      <c r="A24" s="22" t="s">
        <v>2913</v>
      </c>
      <c r="B24" s="189" t="s">
        <v>144</v>
      </c>
      <c r="C24" s="23" t="s">
        <v>144</v>
      </c>
      <c r="D24" s="189" t="s">
        <v>144</v>
      </c>
      <c r="E24" s="22" t="s">
        <v>537</v>
      </c>
      <c r="F24" s="55"/>
      <c r="G24" s="62" t="s">
        <v>1856</v>
      </c>
      <c r="H24" s="64" t="s">
        <v>2182</v>
      </c>
    </row>
    <row r="25" spans="1:8" ht="41.25" customHeight="1" x14ac:dyDescent="0.3">
      <c r="A25" s="22" t="s">
        <v>1213</v>
      </c>
      <c r="B25" s="189" t="s">
        <v>144</v>
      </c>
      <c r="C25" s="23" t="s">
        <v>144</v>
      </c>
      <c r="D25" s="189" t="s">
        <v>144</v>
      </c>
      <c r="E25" s="22" t="s">
        <v>2349</v>
      </c>
      <c r="F25" s="55"/>
      <c r="H25" s="64" t="s">
        <v>2182</v>
      </c>
    </row>
    <row r="26" spans="1:8" x14ac:dyDescent="0.3">
      <c r="A26" s="22" t="s">
        <v>2684</v>
      </c>
      <c r="B26" s="189" t="s">
        <v>144</v>
      </c>
      <c r="C26" s="23" t="s">
        <v>144</v>
      </c>
      <c r="D26" s="189" t="s">
        <v>144</v>
      </c>
      <c r="E26" s="22" t="s">
        <v>538</v>
      </c>
      <c r="F26" s="55"/>
      <c r="H26" s="64" t="s">
        <v>2182</v>
      </c>
    </row>
    <row r="27" spans="1:8" x14ac:dyDescent="0.3">
      <c r="A27" s="22" t="s">
        <v>302</v>
      </c>
      <c r="B27" s="189" t="s">
        <v>144</v>
      </c>
      <c r="C27" s="23" t="s">
        <v>144</v>
      </c>
      <c r="D27" s="189" t="s">
        <v>144</v>
      </c>
      <c r="E27" s="23"/>
      <c r="F27" s="55"/>
      <c r="H27" s="64" t="s">
        <v>2182</v>
      </c>
    </row>
    <row r="28" spans="1:8" ht="25" x14ac:dyDescent="0.3">
      <c r="A28" s="22" t="s">
        <v>539</v>
      </c>
      <c r="B28" s="189" t="s">
        <v>144</v>
      </c>
      <c r="C28" s="23" t="s">
        <v>144</v>
      </c>
      <c r="D28" s="189" t="s">
        <v>144</v>
      </c>
      <c r="E28" s="23"/>
      <c r="F28" s="55"/>
      <c r="H28" s="64" t="s">
        <v>2182</v>
      </c>
    </row>
    <row r="29" spans="1:8" x14ac:dyDescent="0.3">
      <c r="A29" s="22" t="s">
        <v>540</v>
      </c>
      <c r="B29" s="189" t="s">
        <v>144</v>
      </c>
      <c r="C29" s="23" t="s">
        <v>144</v>
      </c>
      <c r="D29" s="189" t="s">
        <v>144</v>
      </c>
      <c r="E29" s="23"/>
      <c r="F29" s="55"/>
      <c r="H29" s="64" t="s">
        <v>2182</v>
      </c>
    </row>
    <row r="30" spans="1:8" x14ac:dyDescent="0.3">
      <c r="A30" s="24" t="s">
        <v>1214</v>
      </c>
      <c r="B30" s="189" t="s">
        <v>144</v>
      </c>
      <c r="C30" s="23" t="s">
        <v>144</v>
      </c>
      <c r="D30" s="189" t="s">
        <v>144</v>
      </c>
      <c r="E30" s="23"/>
      <c r="F30" s="55"/>
      <c r="H30" s="64" t="s">
        <v>2182</v>
      </c>
    </row>
    <row r="31" spans="1:8" x14ac:dyDescent="0.3">
      <c r="A31" s="24" t="s">
        <v>1683</v>
      </c>
      <c r="B31" s="189" t="s">
        <v>144</v>
      </c>
      <c r="C31" s="23" t="s">
        <v>144</v>
      </c>
      <c r="D31" s="189" t="s">
        <v>144</v>
      </c>
      <c r="E31" s="23"/>
      <c r="F31" s="55"/>
      <c r="H31" s="64" t="s">
        <v>2182</v>
      </c>
    </row>
    <row r="32" spans="1:8" x14ac:dyDescent="0.3">
      <c r="A32" s="24" t="s">
        <v>1215</v>
      </c>
      <c r="B32" s="189" t="s">
        <v>144</v>
      </c>
      <c r="C32" s="23" t="s">
        <v>144</v>
      </c>
      <c r="D32" s="189" t="s">
        <v>144</v>
      </c>
      <c r="E32" s="23" t="s">
        <v>541</v>
      </c>
      <c r="F32" s="55"/>
      <c r="H32" s="64" t="s">
        <v>2182</v>
      </c>
    </row>
    <row r="33" spans="1:8" ht="15" customHeight="1" x14ac:dyDescent="0.3">
      <c r="A33" s="24" t="s">
        <v>157</v>
      </c>
      <c r="B33" s="189" t="s">
        <v>144</v>
      </c>
      <c r="C33" s="23" t="s">
        <v>144</v>
      </c>
      <c r="D33" s="189" t="s">
        <v>144</v>
      </c>
      <c r="E33" s="22" t="s">
        <v>542</v>
      </c>
      <c r="F33" s="55"/>
      <c r="H33" s="64" t="s">
        <v>2182</v>
      </c>
    </row>
    <row r="34" spans="1:8" x14ac:dyDescent="0.3">
      <c r="A34" s="22" t="s">
        <v>547</v>
      </c>
      <c r="B34" s="189" t="s">
        <v>646</v>
      </c>
      <c r="C34" s="23" t="s">
        <v>646</v>
      </c>
      <c r="D34" s="189" t="s">
        <v>646</v>
      </c>
      <c r="E34" s="23"/>
      <c r="F34" s="55"/>
      <c r="H34" s="64" t="s">
        <v>2182</v>
      </c>
    </row>
    <row r="35" spans="1:8" x14ac:dyDescent="0.3">
      <c r="A35" s="22" t="s">
        <v>1684</v>
      </c>
      <c r="B35" s="189" t="s">
        <v>646</v>
      </c>
      <c r="C35" s="23" t="s">
        <v>646</v>
      </c>
      <c r="D35" s="189" t="s">
        <v>646</v>
      </c>
      <c r="E35" s="23" t="s">
        <v>543</v>
      </c>
      <c r="F35" s="55"/>
      <c r="H35" s="64" t="s">
        <v>2182</v>
      </c>
    </row>
    <row r="36" spans="1:8" x14ac:dyDescent="0.3">
      <c r="A36" s="22" t="s">
        <v>544</v>
      </c>
      <c r="B36" s="189" t="s">
        <v>646</v>
      </c>
      <c r="C36" s="23" t="s">
        <v>646</v>
      </c>
      <c r="D36" s="189" t="s">
        <v>646</v>
      </c>
      <c r="E36" s="23" t="s">
        <v>545</v>
      </c>
      <c r="F36" s="55"/>
      <c r="H36" s="64" t="s">
        <v>2182</v>
      </c>
    </row>
    <row r="37" spans="1:8" x14ac:dyDescent="0.3">
      <c r="A37" s="24" t="s">
        <v>1216</v>
      </c>
      <c r="B37" s="189" t="s">
        <v>646</v>
      </c>
      <c r="C37" s="23" t="s">
        <v>646</v>
      </c>
      <c r="D37" s="189" t="s">
        <v>646</v>
      </c>
      <c r="F37" s="55"/>
      <c r="H37" s="64" t="s">
        <v>2182</v>
      </c>
    </row>
    <row r="38" spans="1:8" x14ac:dyDescent="0.3">
      <c r="A38" s="24" t="s">
        <v>1217</v>
      </c>
      <c r="B38" s="189" t="s">
        <v>646</v>
      </c>
      <c r="C38" s="23" t="s">
        <v>646</v>
      </c>
      <c r="D38" s="189" t="s">
        <v>646</v>
      </c>
      <c r="E38" s="23"/>
      <c r="F38" s="55"/>
      <c r="H38" s="64" t="s">
        <v>2182</v>
      </c>
    </row>
    <row r="39" spans="1:8" x14ac:dyDescent="0.3">
      <c r="A39" s="24" t="s">
        <v>1218</v>
      </c>
      <c r="B39" s="189" t="s">
        <v>646</v>
      </c>
      <c r="C39" s="23" t="s">
        <v>646</v>
      </c>
      <c r="D39" s="189" t="s">
        <v>646</v>
      </c>
      <c r="E39" s="23"/>
      <c r="F39" s="55"/>
      <c r="H39" s="64" t="s">
        <v>2182</v>
      </c>
    </row>
    <row r="40" spans="1:8" x14ac:dyDescent="0.3">
      <c r="A40" s="24" t="s">
        <v>1219</v>
      </c>
      <c r="B40" s="189" t="s">
        <v>646</v>
      </c>
      <c r="C40" s="23" t="s">
        <v>646</v>
      </c>
      <c r="D40" s="189" t="s">
        <v>646</v>
      </c>
      <c r="E40" s="23"/>
      <c r="F40" s="55"/>
      <c r="H40" s="64" t="s">
        <v>2182</v>
      </c>
    </row>
    <row r="41" spans="1:8" x14ac:dyDescent="0.3">
      <c r="A41" s="24" t="s">
        <v>1220</v>
      </c>
      <c r="B41" s="189" t="s">
        <v>646</v>
      </c>
      <c r="C41" s="23" t="s">
        <v>646</v>
      </c>
      <c r="D41" s="189" t="s">
        <v>646</v>
      </c>
      <c r="E41" s="23"/>
      <c r="F41" s="55"/>
      <c r="H41" s="64" t="s">
        <v>2182</v>
      </c>
    </row>
    <row r="42" spans="1:8" x14ac:dyDescent="0.3">
      <c r="A42" s="24" t="s">
        <v>1221</v>
      </c>
      <c r="B42" s="189" t="s">
        <v>646</v>
      </c>
      <c r="C42" s="23" t="s">
        <v>646</v>
      </c>
      <c r="D42" s="189" t="s">
        <v>646</v>
      </c>
      <c r="E42" s="23"/>
      <c r="F42" s="55"/>
      <c r="H42" s="64" t="s">
        <v>2182</v>
      </c>
    </row>
    <row r="43" spans="1:8" x14ac:dyDescent="0.3">
      <c r="A43" s="24" t="s">
        <v>1222</v>
      </c>
      <c r="B43" s="189" t="s">
        <v>646</v>
      </c>
      <c r="C43" s="23" t="s">
        <v>646</v>
      </c>
      <c r="D43" s="189" t="s">
        <v>646</v>
      </c>
      <c r="E43" s="23"/>
      <c r="F43" s="55"/>
      <c r="H43" s="64" t="s">
        <v>2182</v>
      </c>
    </row>
    <row r="44" spans="1:8" x14ac:dyDescent="0.3">
      <c r="A44" s="24" t="s">
        <v>1223</v>
      </c>
      <c r="B44" s="189" t="s">
        <v>646</v>
      </c>
      <c r="C44" s="23" t="s">
        <v>646</v>
      </c>
      <c r="D44" s="189" t="s">
        <v>646</v>
      </c>
      <c r="E44" s="23"/>
      <c r="F44" s="55"/>
      <c r="H44" s="64" t="s">
        <v>2182</v>
      </c>
    </row>
    <row r="45" spans="1:8" x14ac:dyDescent="0.3">
      <c r="A45" s="24" t="s">
        <v>1224</v>
      </c>
      <c r="B45" s="189" t="s">
        <v>646</v>
      </c>
      <c r="C45" s="23" t="s">
        <v>646</v>
      </c>
      <c r="D45" s="189"/>
      <c r="E45" s="23"/>
      <c r="F45" s="55"/>
      <c r="H45" s="64" t="s">
        <v>2182</v>
      </c>
    </row>
    <row r="46" spans="1:8" x14ac:dyDescent="0.3">
      <c r="A46" s="24" t="s">
        <v>158</v>
      </c>
      <c r="B46" s="189" t="s">
        <v>646</v>
      </c>
      <c r="C46" s="23" t="s">
        <v>646</v>
      </c>
      <c r="D46" s="189"/>
      <c r="E46" s="23"/>
      <c r="F46" s="55"/>
      <c r="H46" s="64" t="s">
        <v>2182</v>
      </c>
    </row>
    <row r="47" spans="1:8" ht="13.5" customHeight="1" x14ac:dyDescent="0.3">
      <c r="A47" s="22" t="s">
        <v>1225</v>
      </c>
      <c r="B47" s="189" t="s">
        <v>646</v>
      </c>
      <c r="C47" s="23" t="s">
        <v>646</v>
      </c>
      <c r="D47" s="189"/>
      <c r="E47" s="22" t="s">
        <v>718</v>
      </c>
      <c r="F47" s="55"/>
      <c r="H47" s="64" t="s">
        <v>2182</v>
      </c>
    </row>
    <row r="48" spans="1:8" ht="25" x14ac:dyDescent="0.3">
      <c r="A48" s="22" t="s">
        <v>1685</v>
      </c>
      <c r="B48" s="189"/>
      <c r="C48" s="23"/>
      <c r="D48" s="189" t="s">
        <v>646</v>
      </c>
      <c r="E48" s="23" t="s">
        <v>397</v>
      </c>
      <c r="F48" s="55"/>
      <c r="H48" s="64" t="s">
        <v>2182</v>
      </c>
    </row>
    <row r="49" spans="1:8" x14ac:dyDescent="0.3">
      <c r="A49" s="22" t="s">
        <v>64</v>
      </c>
      <c r="B49" s="189" t="s">
        <v>646</v>
      </c>
      <c r="C49" s="23" t="s">
        <v>646</v>
      </c>
      <c r="D49" s="189" t="s">
        <v>646</v>
      </c>
      <c r="E49" s="23"/>
      <c r="F49" s="55"/>
      <c r="H49" s="64" t="s">
        <v>2182</v>
      </c>
    </row>
    <row r="50" spans="1:8" ht="25" x14ac:dyDescent="0.3">
      <c r="A50" s="24" t="s">
        <v>1483</v>
      </c>
      <c r="B50" s="189" t="s">
        <v>646</v>
      </c>
      <c r="C50" s="23" t="s">
        <v>646</v>
      </c>
      <c r="D50" s="189" t="s">
        <v>646</v>
      </c>
      <c r="E50" s="22" t="s">
        <v>2076</v>
      </c>
      <c r="F50" s="55"/>
      <c r="H50" s="64" t="s">
        <v>2182</v>
      </c>
    </row>
    <row r="51" spans="1:8" x14ac:dyDescent="0.3">
      <c r="A51" s="24" t="s">
        <v>1484</v>
      </c>
      <c r="B51" s="189" t="s">
        <v>646</v>
      </c>
      <c r="C51" s="23" t="s">
        <v>646</v>
      </c>
      <c r="D51" s="189"/>
      <c r="E51" s="23"/>
      <c r="F51" s="55"/>
      <c r="H51" s="64" t="s">
        <v>2182</v>
      </c>
    </row>
    <row r="52" spans="1:8" x14ac:dyDescent="0.3">
      <c r="A52" s="24" t="s">
        <v>1485</v>
      </c>
      <c r="B52" s="189" t="s">
        <v>646</v>
      </c>
      <c r="C52" s="23" t="s">
        <v>646</v>
      </c>
      <c r="D52" s="189" t="s">
        <v>646</v>
      </c>
      <c r="E52" s="23"/>
      <c r="F52" s="55"/>
      <c r="H52" s="64" t="s">
        <v>2182</v>
      </c>
    </row>
    <row r="53" spans="1:8" x14ac:dyDescent="0.3">
      <c r="A53" s="24" t="s">
        <v>1486</v>
      </c>
      <c r="B53" s="189" t="s">
        <v>646</v>
      </c>
      <c r="C53" s="23" t="s">
        <v>646</v>
      </c>
      <c r="D53" s="189" t="s">
        <v>646</v>
      </c>
      <c r="E53" s="23"/>
      <c r="F53" s="55"/>
      <c r="H53" s="64" t="s">
        <v>2182</v>
      </c>
    </row>
    <row r="54" spans="1:8" x14ac:dyDescent="0.3">
      <c r="A54" s="24" t="s">
        <v>1487</v>
      </c>
      <c r="B54" s="189" t="s">
        <v>646</v>
      </c>
      <c r="C54" s="23" t="s">
        <v>646</v>
      </c>
      <c r="D54" s="189"/>
      <c r="E54" s="23"/>
      <c r="F54" s="55"/>
      <c r="H54" s="64" t="s">
        <v>2182</v>
      </c>
    </row>
    <row r="55" spans="1:8" ht="128.25" customHeight="1" x14ac:dyDescent="0.3">
      <c r="A55" s="24" t="s">
        <v>2077</v>
      </c>
      <c r="B55" s="189"/>
      <c r="C55" s="23"/>
      <c r="D55" s="189" t="s">
        <v>646</v>
      </c>
      <c r="E55" s="22" t="s">
        <v>2393</v>
      </c>
      <c r="F55" s="55"/>
      <c r="H55" s="64" t="s">
        <v>2182</v>
      </c>
    </row>
    <row r="56" spans="1:8" x14ac:dyDescent="0.3">
      <c r="A56" s="24" t="s">
        <v>1488</v>
      </c>
      <c r="B56" s="189" t="s">
        <v>646</v>
      </c>
      <c r="C56" s="23" t="s">
        <v>646</v>
      </c>
      <c r="D56" s="189" t="s">
        <v>646</v>
      </c>
      <c r="E56" s="23"/>
      <c r="F56" s="55"/>
      <c r="H56" s="64" t="s">
        <v>2182</v>
      </c>
    </row>
    <row r="57" spans="1:8" ht="25" x14ac:dyDescent="0.3">
      <c r="A57" s="24" t="s">
        <v>1489</v>
      </c>
      <c r="B57" s="189" t="s">
        <v>646</v>
      </c>
      <c r="C57" s="23" t="s">
        <v>646</v>
      </c>
      <c r="D57" s="189" t="s">
        <v>646</v>
      </c>
      <c r="E57" s="23"/>
      <c r="F57" s="55"/>
      <c r="H57" s="64" t="s">
        <v>2182</v>
      </c>
    </row>
    <row r="58" spans="1:8" x14ac:dyDescent="0.3">
      <c r="A58" s="24" t="s">
        <v>2078</v>
      </c>
      <c r="B58" s="189" t="s">
        <v>646</v>
      </c>
      <c r="C58" s="23" t="s">
        <v>646</v>
      </c>
      <c r="D58" s="189" t="s">
        <v>646</v>
      </c>
      <c r="E58" s="23"/>
      <c r="F58" s="55"/>
      <c r="H58" s="64" t="s">
        <v>2182</v>
      </c>
    </row>
    <row r="59" spans="1:8" ht="25" x14ac:dyDescent="0.3">
      <c r="A59" s="24" t="s">
        <v>2080</v>
      </c>
      <c r="B59" s="189" t="s">
        <v>646</v>
      </c>
      <c r="C59" s="23" t="s">
        <v>646</v>
      </c>
      <c r="D59" s="189" t="s">
        <v>646</v>
      </c>
      <c r="E59" s="22" t="s">
        <v>2079</v>
      </c>
      <c r="F59" s="55"/>
      <c r="H59" s="64" t="s">
        <v>2182</v>
      </c>
    </row>
    <row r="60" spans="1:8" x14ac:dyDescent="0.3">
      <c r="A60" s="134" t="s">
        <v>2081</v>
      </c>
      <c r="B60" s="189" t="s">
        <v>646</v>
      </c>
      <c r="C60" s="23" t="s">
        <v>646</v>
      </c>
      <c r="D60" s="189"/>
      <c r="E60" s="23"/>
      <c r="F60" s="55"/>
      <c r="H60" s="64"/>
    </row>
    <row r="61" spans="1:8" ht="25" x14ac:dyDescent="0.3">
      <c r="A61" s="22" t="s">
        <v>719</v>
      </c>
      <c r="B61" s="189" t="s">
        <v>646</v>
      </c>
      <c r="C61" s="23"/>
      <c r="D61" s="189"/>
      <c r="E61" s="22" t="s">
        <v>720</v>
      </c>
      <c r="F61" s="55"/>
      <c r="H61" s="64"/>
    </row>
    <row r="62" spans="1:8" ht="25" x14ac:dyDescent="0.3">
      <c r="A62" s="22" t="s">
        <v>1490</v>
      </c>
      <c r="B62" s="189" t="s">
        <v>646</v>
      </c>
      <c r="C62" s="23" t="s">
        <v>843</v>
      </c>
      <c r="D62" s="189"/>
      <c r="E62" s="22" t="s">
        <v>1491</v>
      </c>
      <c r="F62" s="55"/>
      <c r="G62" s="101"/>
      <c r="H62" s="64"/>
    </row>
    <row r="63" spans="1:8" x14ac:dyDescent="0.3">
      <c r="A63" s="22" t="s">
        <v>2183</v>
      </c>
      <c r="B63" s="189" t="s">
        <v>646</v>
      </c>
      <c r="C63" s="23" t="s">
        <v>843</v>
      </c>
      <c r="D63" s="189"/>
      <c r="E63" s="22"/>
      <c r="F63" s="55"/>
      <c r="G63" s="101"/>
      <c r="H63" s="64"/>
    </row>
    <row r="64" spans="1:8" ht="25" x14ac:dyDescent="0.3">
      <c r="A64" s="22" t="s">
        <v>670</v>
      </c>
      <c r="B64" s="189" t="s">
        <v>646</v>
      </c>
      <c r="C64" s="23"/>
      <c r="D64" s="189"/>
      <c r="E64" s="22" t="s">
        <v>402</v>
      </c>
      <c r="F64" s="55"/>
      <c r="H64" s="64"/>
    </row>
    <row r="65" spans="1:10" x14ac:dyDescent="0.3">
      <c r="A65" s="135" t="s">
        <v>2082</v>
      </c>
      <c r="B65" s="189" t="s">
        <v>646</v>
      </c>
      <c r="C65" s="23" t="s">
        <v>646</v>
      </c>
      <c r="D65" s="189" t="s">
        <v>646</v>
      </c>
      <c r="E65" s="22"/>
      <c r="F65" s="55"/>
      <c r="H65" s="64"/>
    </row>
    <row r="66" spans="1:10" ht="40.5" customHeight="1" x14ac:dyDescent="0.3">
      <c r="A66" s="22" t="s">
        <v>2083</v>
      </c>
      <c r="B66" s="189" t="s">
        <v>646</v>
      </c>
      <c r="C66" s="23" t="s">
        <v>646</v>
      </c>
      <c r="D66" s="189" t="s">
        <v>646</v>
      </c>
      <c r="E66" s="22" t="s">
        <v>2084</v>
      </c>
      <c r="F66" s="55"/>
      <c r="G66" s="101"/>
      <c r="H66" s="64" t="s">
        <v>2182</v>
      </c>
    </row>
    <row r="67" spans="1:10" x14ac:dyDescent="0.3">
      <c r="A67" s="22" t="s">
        <v>599</v>
      </c>
      <c r="B67" s="189" t="s">
        <v>145</v>
      </c>
      <c r="C67" s="23" t="s">
        <v>145</v>
      </c>
      <c r="D67" s="189" t="s">
        <v>145</v>
      </c>
      <c r="E67" s="23"/>
      <c r="F67" s="55"/>
      <c r="H67" s="64" t="s">
        <v>2182</v>
      </c>
    </row>
    <row r="68" spans="1:10" ht="25" x14ac:dyDescent="0.3">
      <c r="A68" s="22" t="s">
        <v>2085</v>
      </c>
      <c r="B68" s="189" t="s">
        <v>145</v>
      </c>
      <c r="C68" s="23" t="s">
        <v>145</v>
      </c>
      <c r="D68" s="189" t="s">
        <v>145</v>
      </c>
      <c r="E68" s="23"/>
      <c r="F68" s="55"/>
      <c r="H68" s="64" t="s">
        <v>2182</v>
      </c>
    </row>
    <row r="69" spans="1:10" s="48" customFormat="1" x14ac:dyDescent="0.3">
      <c r="A69" s="37" t="s">
        <v>508</v>
      </c>
      <c r="B69" s="189" t="s">
        <v>144</v>
      </c>
      <c r="C69" s="23" t="s">
        <v>144</v>
      </c>
      <c r="D69" s="189" t="s">
        <v>144</v>
      </c>
      <c r="E69" s="38"/>
      <c r="F69" s="55"/>
      <c r="G69" s="62"/>
      <c r="H69" s="64" t="s">
        <v>2182</v>
      </c>
      <c r="I69" s="62"/>
      <c r="J69" s="62"/>
    </row>
    <row r="70" spans="1:10" x14ac:dyDescent="0.3">
      <c r="A70" s="22" t="s">
        <v>863</v>
      </c>
      <c r="B70" s="189" t="s">
        <v>144</v>
      </c>
      <c r="C70" s="23" t="s">
        <v>144</v>
      </c>
      <c r="D70" s="189" t="s">
        <v>144</v>
      </c>
      <c r="E70" s="23"/>
      <c r="F70" s="55"/>
      <c r="H70" s="64" t="s">
        <v>2182</v>
      </c>
    </row>
    <row r="71" spans="1:10" ht="13.5" customHeight="1" x14ac:dyDescent="0.3">
      <c r="A71" s="22" t="s">
        <v>509</v>
      </c>
      <c r="B71" s="189" t="s">
        <v>144</v>
      </c>
      <c r="C71" s="23" t="s">
        <v>144</v>
      </c>
      <c r="D71" s="189" t="s">
        <v>144</v>
      </c>
      <c r="E71" s="22" t="s">
        <v>510</v>
      </c>
      <c r="F71" s="55"/>
      <c r="H71" s="64" t="s">
        <v>2182</v>
      </c>
    </row>
    <row r="72" spans="1:10" ht="25" x14ac:dyDescent="0.3">
      <c r="A72" s="24" t="s">
        <v>1226</v>
      </c>
      <c r="B72" s="189" t="s">
        <v>144</v>
      </c>
      <c r="C72" s="23" t="s">
        <v>144</v>
      </c>
      <c r="D72" s="189" t="s">
        <v>144</v>
      </c>
      <c r="E72" s="22" t="s">
        <v>1736</v>
      </c>
      <c r="F72" s="55"/>
      <c r="H72" s="64" t="s">
        <v>2182</v>
      </c>
    </row>
    <row r="73" spans="1:10" ht="25" x14ac:dyDescent="0.3">
      <c r="A73" s="24" t="s">
        <v>1227</v>
      </c>
      <c r="B73" s="189" t="s">
        <v>144</v>
      </c>
      <c r="C73" s="23" t="s">
        <v>144</v>
      </c>
      <c r="D73" s="189" t="s">
        <v>144</v>
      </c>
      <c r="E73" s="22" t="s">
        <v>1737</v>
      </c>
      <c r="F73" s="55"/>
      <c r="H73" s="64" t="s">
        <v>2182</v>
      </c>
    </row>
    <row r="74" spans="1:10" x14ac:dyDescent="0.3">
      <c r="A74" s="24" t="s">
        <v>1492</v>
      </c>
      <c r="B74" s="189" t="s">
        <v>144</v>
      </c>
      <c r="C74" s="23" t="s">
        <v>144</v>
      </c>
      <c r="D74" s="189" t="s">
        <v>144</v>
      </c>
      <c r="E74" s="22" t="s">
        <v>638</v>
      </c>
      <c r="F74" s="55"/>
      <c r="H74" s="64" t="s">
        <v>2182</v>
      </c>
    </row>
    <row r="75" spans="1:10" ht="15.75" customHeight="1" x14ac:dyDescent="0.3">
      <c r="A75" s="24" t="s">
        <v>1228</v>
      </c>
      <c r="B75" s="189" t="s">
        <v>144</v>
      </c>
      <c r="C75" s="23" t="s">
        <v>144</v>
      </c>
      <c r="D75" s="189" t="s">
        <v>144</v>
      </c>
      <c r="E75" s="22" t="s">
        <v>511</v>
      </c>
      <c r="F75" s="55"/>
      <c r="H75" s="64" t="s">
        <v>2182</v>
      </c>
    </row>
    <row r="76" spans="1:10" ht="15" customHeight="1" x14ac:dyDescent="0.3">
      <c r="A76" s="24" t="s">
        <v>1229</v>
      </c>
      <c r="B76" s="189" t="s">
        <v>144</v>
      </c>
      <c r="C76" s="23" t="s">
        <v>144</v>
      </c>
      <c r="D76" s="189" t="s">
        <v>144</v>
      </c>
      <c r="E76" s="22" t="s">
        <v>1493</v>
      </c>
      <c r="F76" s="55"/>
      <c r="H76" s="64" t="s">
        <v>2182</v>
      </c>
    </row>
    <row r="77" spans="1:10" x14ac:dyDescent="0.3">
      <c r="A77" s="24" t="s">
        <v>159</v>
      </c>
      <c r="B77" s="189" t="s">
        <v>144</v>
      </c>
      <c r="C77" s="23" t="s">
        <v>144</v>
      </c>
      <c r="D77" s="189" t="s">
        <v>144</v>
      </c>
      <c r="E77" s="22" t="s">
        <v>513</v>
      </c>
      <c r="F77" s="55"/>
      <c r="H77" s="64" t="s">
        <v>2182</v>
      </c>
    </row>
    <row r="78" spans="1:10" x14ac:dyDescent="0.3">
      <c r="A78" s="22" t="s">
        <v>547</v>
      </c>
      <c r="B78" s="189" t="s">
        <v>646</v>
      </c>
      <c r="C78" s="23" t="s">
        <v>646</v>
      </c>
      <c r="D78" s="189" t="s">
        <v>646</v>
      </c>
      <c r="E78" s="23"/>
      <c r="F78" s="55"/>
      <c r="H78" s="64" t="s">
        <v>2182</v>
      </c>
    </row>
    <row r="79" spans="1:10" x14ac:dyDescent="0.3">
      <c r="A79" s="22" t="s">
        <v>514</v>
      </c>
      <c r="B79" s="189" t="s">
        <v>646</v>
      </c>
      <c r="C79" s="23" t="s">
        <v>646</v>
      </c>
      <c r="D79" s="189" t="s">
        <v>646</v>
      </c>
      <c r="E79" s="23" t="s">
        <v>545</v>
      </c>
      <c r="F79" s="55"/>
      <c r="H79" s="64" t="s">
        <v>2182</v>
      </c>
    </row>
    <row r="80" spans="1:10" x14ac:dyDescent="0.3">
      <c r="A80" s="24" t="s">
        <v>1230</v>
      </c>
      <c r="B80" s="189" t="s">
        <v>646</v>
      </c>
      <c r="C80" s="23" t="s">
        <v>646</v>
      </c>
      <c r="D80" s="189" t="s">
        <v>646</v>
      </c>
      <c r="E80" s="23"/>
      <c r="F80" s="55"/>
      <c r="H80" s="64" t="s">
        <v>2182</v>
      </c>
    </row>
    <row r="81" spans="1:10" x14ac:dyDescent="0.3">
      <c r="A81" s="24" t="s">
        <v>1494</v>
      </c>
      <c r="B81" s="189" t="s">
        <v>646</v>
      </c>
      <c r="C81" s="23" t="s">
        <v>646</v>
      </c>
      <c r="D81" s="189" t="s">
        <v>646</v>
      </c>
      <c r="E81" s="23" t="s">
        <v>638</v>
      </c>
      <c r="F81" s="55"/>
      <c r="G81" s="101"/>
      <c r="H81" s="64" t="s">
        <v>2182</v>
      </c>
    </row>
    <row r="82" spans="1:10" ht="15.75" customHeight="1" x14ac:dyDescent="0.3">
      <c r="A82" s="24" t="s">
        <v>1495</v>
      </c>
      <c r="B82" s="189" t="s">
        <v>646</v>
      </c>
      <c r="C82" s="23" t="s">
        <v>646</v>
      </c>
      <c r="D82" s="189" t="s">
        <v>646</v>
      </c>
      <c r="E82" s="22" t="s">
        <v>638</v>
      </c>
      <c r="F82" s="55"/>
      <c r="H82" s="64" t="s">
        <v>2182</v>
      </c>
    </row>
    <row r="83" spans="1:10" ht="14.25" customHeight="1" x14ac:dyDescent="0.3">
      <c r="A83" s="24" t="s">
        <v>1496</v>
      </c>
      <c r="B83" s="189" t="s">
        <v>646</v>
      </c>
      <c r="C83" s="23" t="s">
        <v>646</v>
      </c>
      <c r="D83" s="189" t="s">
        <v>646</v>
      </c>
      <c r="E83" s="22" t="s">
        <v>511</v>
      </c>
      <c r="F83" s="55"/>
      <c r="H83" s="64" t="s">
        <v>2182</v>
      </c>
    </row>
    <row r="84" spans="1:10" x14ac:dyDescent="0.3">
      <c r="A84" s="24" t="s">
        <v>1497</v>
      </c>
      <c r="B84" s="189" t="s">
        <v>646</v>
      </c>
      <c r="C84" s="23" t="s">
        <v>646</v>
      </c>
      <c r="D84" s="189" t="s">
        <v>646</v>
      </c>
      <c r="E84" s="23"/>
      <c r="F84" s="55"/>
      <c r="H84" s="64" t="s">
        <v>2182</v>
      </c>
    </row>
    <row r="85" spans="1:10" ht="14.25" customHeight="1" x14ac:dyDescent="0.3">
      <c r="A85" s="24" t="s">
        <v>1231</v>
      </c>
      <c r="B85" s="189" t="s">
        <v>646</v>
      </c>
      <c r="C85" s="23" t="s">
        <v>646</v>
      </c>
      <c r="D85" s="189" t="s">
        <v>646</v>
      </c>
      <c r="E85" s="22" t="s">
        <v>557</v>
      </c>
      <c r="F85" s="55"/>
      <c r="H85" s="64" t="s">
        <v>2182</v>
      </c>
    </row>
    <row r="86" spans="1:10" ht="27.75" customHeight="1" x14ac:dyDescent="0.3">
      <c r="A86" s="24" t="s">
        <v>2086</v>
      </c>
      <c r="B86" s="189" t="s">
        <v>646</v>
      </c>
      <c r="C86" s="23" t="s">
        <v>646</v>
      </c>
      <c r="D86" s="189" t="s">
        <v>646</v>
      </c>
      <c r="E86" s="22" t="s">
        <v>2087</v>
      </c>
      <c r="F86" s="55"/>
      <c r="H86" s="64"/>
    </row>
    <row r="87" spans="1:10" s="48" customFormat="1" x14ac:dyDescent="0.3">
      <c r="A87" s="37" t="s">
        <v>515</v>
      </c>
      <c r="B87" s="189" t="s">
        <v>144</v>
      </c>
      <c r="C87" s="23" t="s">
        <v>144</v>
      </c>
      <c r="D87" s="189" t="s">
        <v>144</v>
      </c>
      <c r="E87" s="38"/>
      <c r="F87" s="55"/>
      <c r="G87" s="62"/>
      <c r="H87" s="64" t="s">
        <v>2182</v>
      </c>
      <c r="I87" s="62"/>
      <c r="J87" s="62"/>
    </row>
    <row r="88" spans="1:10" x14ac:dyDescent="0.3">
      <c r="A88" s="22" t="s">
        <v>863</v>
      </c>
      <c r="B88" s="189" t="s">
        <v>144</v>
      </c>
      <c r="C88" s="23" t="s">
        <v>144</v>
      </c>
      <c r="D88" s="189" t="s">
        <v>144</v>
      </c>
      <c r="E88" s="23"/>
      <c r="F88" s="55"/>
      <c r="H88" s="64" t="s">
        <v>2182</v>
      </c>
    </row>
    <row r="89" spans="1:10" ht="25" x14ac:dyDescent="0.3">
      <c r="A89" s="22" t="s">
        <v>2685</v>
      </c>
      <c r="B89" s="189" t="s">
        <v>144</v>
      </c>
      <c r="C89" s="23" t="s">
        <v>144</v>
      </c>
      <c r="D89" s="189" t="s">
        <v>144</v>
      </c>
      <c r="E89" s="23" t="s">
        <v>513</v>
      </c>
      <c r="F89" s="55"/>
      <c r="H89" s="64" t="s">
        <v>2182</v>
      </c>
    </row>
    <row r="90" spans="1:10" ht="25" x14ac:dyDescent="0.3">
      <c r="A90" s="22" t="s">
        <v>1738</v>
      </c>
      <c r="B90" s="189" t="s">
        <v>144</v>
      </c>
      <c r="C90" s="23" t="s">
        <v>144</v>
      </c>
      <c r="D90" s="189" t="s">
        <v>144</v>
      </c>
      <c r="E90" s="22" t="s">
        <v>516</v>
      </c>
      <c r="F90" s="55"/>
      <c r="H90" s="64" t="s">
        <v>2182</v>
      </c>
    </row>
    <row r="91" spans="1:10" ht="14.25" customHeight="1" x14ac:dyDescent="0.3">
      <c r="A91" s="22" t="s">
        <v>517</v>
      </c>
      <c r="B91" s="189" t="s">
        <v>144</v>
      </c>
      <c r="C91" s="23" t="s">
        <v>144</v>
      </c>
      <c r="D91" s="189" t="s">
        <v>144</v>
      </c>
      <c r="E91" s="22" t="s">
        <v>518</v>
      </c>
      <c r="F91" s="55"/>
      <c r="H91" s="64" t="s">
        <v>2182</v>
      </c>
    </row>
    <row r="92" spans="1:10" ht="39.75" customHeight="1" x14ac:dyDescent="0.3">
      <c r="A92" s="22" t="s">
        <v>2686</v>
      </c>
      <c r="B92" s="189" t="s">
        <v>144</v>
      </c>
      <c r="C92" s="23" t="s">
        <v>144</v>
      </c>
      <c r="D92" s="189" t="s">
        <v>144</v>
      </c>
      <c r="E92" s="22" t="s">
        <v>519</v>
      </c>
      <c r="F92" s="55"/>
      <c r="H92" s="64" t="s">
        <v>2182</v>
      </c>
    </row>
    <row r="93" spans="1:10" x14ac:dyDescent="0.3">
      <c r="A93" s="22" t="s">
        <v>406</v>
      </c>
      <c r="B93" s="189" t="s">
        <v>144</v>
      </c>
      <c r="C93" s="23" t="s">
        <v>144</v>
      </c>
      <c r="D93" s="189" t="s">
        <v>144</v>
      </c>
      <c r="E93" s="23"/>
      <c r="F93" s="55"/>
      <c r="H93" s="64" t="s">
        <v>2182</v>
      </c>
    </row>
    <row r="94" spans="1:10" ht="14.25" customHeight="1" x14ac:dyDescent="0.3">
      <c r="A94" s="22" t="s">
        <v>520</v>
      </c>
      <c r="B94" s="189" t="s">
        <v>144</v>
      </c>
      <c r="C94" s="23" t="s">
        <v>144</v>
      </c>
      <c r="D94" s="189" t="s">
        <v>144</v>
      </c>
      <c r="E94" s="22" t="s">
        <v>521</v>
      </c>
      <c r="F94" s="55"/>
      <c r="H94" s="64" t="s">
        <v>2182</v>
      </c>
    </row>
    <row r="95" spans="1:10" ht="37.5" x14ac:dyDescent="0.3">
      <c r="A95" s="22" t="s">
        <v>522</v>
      </c>
      <c r="B95" s="189" t="s">
        <v>144</v>
      </c>
      <c r="C95" s="23" t="s">
        <v>144</v>
      </c>
      <c r="D95" s="189" t="s">
        <v>144</v>
      </c>
      <c r="E95" s="23"/>
      <c r="F95" s="55"/>
      <c r="H95" s="64" t="s">
        <v>2182</v>
      </c>
    </row>
    <row r="96" spans="1:10" ht="37.5" x14ac:dyDescent="0.3">
      <c r="A96" s="22" t="s">
        <v>558</v>
      </c>
      <c r="B96" s="189" t="s">
        <v>144</v>
      </c>
      <c r="C96" s="23" t="s">
        <v>144</v>
      </c>
      <c r="D96" s="189" t="s">
        <v>144</v>
      </c>
      <c r="E96" s="22" t="s">
        <v>523</v>
      </c>
      <c r="F96" s="55"/>
      <c r="H96" s="64" t="s">
        <v>2182</v>
      </c>
    </row>
    <row r="97" spans="1:10" ht="37.5" x14ac:dyDescent="0.3">
      <c r="A97" s="22" t="s">
        <v>559</v>
      </c>
      <c r="B97" s="189" t="s">
        <v>144</v>
      </c>
      <c r="C97" s="23" t="s">
        <v>144</v>
      </c>
      <c r="D97" s="189" t="s">
        <v>144</v>
      </c>
      <c r="E97" s="22" t="s">
        <v>304</v>
      </c>
      <c r="F97" s="55"/>
      <c r="H97" s="64" t="s">
        <v>2182</v>
      </c>
    </row>
    <row r="98" spans="1:10" x14ac:dyDescent="0.3">
      <c r="A98" s="22" t="s">
        <v>302</v>
      </c>
      <c r="B98" s="189" t="s">
        <v>144</v>
      </c>
      <c r="C98" s="23" t="s">
        <v>144</v>
      </c>
      <c r="D98" s="189" t="s">
        <v>144</v>
      </c>
      <c r="E98" s="23"/>
      <c r="F98" s="55"/>
      <c r="H98" s="64" t="s">
        <v>2182</v>
      </c>
    </row>
    <row r="99" spans="1:10" x14ac:dyDescent="0.3">
      <c r="A99" s="22" t="s">
        <v>2687</v>
      </c>
      <c r="B99" s="189" t="s">
        <v>144</v>
      </c>
      <c r="C99" s="23" t="s">
        <v>144</v>
      </c>
      <c r="D99" s="189" t="s">
        <v>144</v>
      </c>
      <c r="E99" s="22" t="s">
        <v>305</v>
      </c>
      <c r="F99" s="55"/>
      <c r="H99" s="64" t="s">
        <v>2182</v>
      </c>
    </row>
    <row r="100" spans="1:10" x14ac:dyDescent="0.3">
      <c r="A100" s="22" t="s">
        <v>306</v>
      </c>
      <c r="B100" s="189" t="s">
        <v>144</v>
      </c>
      <c r="C100" s="23" t="s">
        <v>144</v>
      </c>
      <c r="D100" s="189" t="s">
        <v>144</v>
      </c>
      <c r="E100" s="23"/>
      <c r="F100" s="55"/>
      <c r="H100" s="64" t="s">
        <v>2182</v>
      </c>
    </row>
    <row r="101" spans="1:10" x14ac:dyDescent="0.3">
      <c r="A101" s="22" t="s">
        <v>2688</v>
      </c>
      <c r="B101" s="189" t="s">
        <v>144</v>
      </c>
      <c r="C101" s="23" t="s">
        <v>144</v>
      </c>
      <c r="D101" s="189" t="s">
        <v>144</v>
      </c>
      <c r="E101" s="22" t="s">
        <v>448</v>
      </c>
      <c r="F101" s="55"/>
      <c r="H101" s="64" t="s">
        <v>2182</v>
      </c>
    </row>
    <row r="102" spans="1:10" ht="37.5" x14ac:dyDescent="0.3">
      <c r="A102" s="22" t="s">
        <v>1232</v>
      </c>
      <c r="B102" s="189" t="s">
        <v>144</v>
      </c>
      <c r="C102" s="23" t="s">
        <v>144</v>
      </c>
      <c r="D102" s="189" t="s">
        <v>144</v>
      </c>
      <c r="E102" s="23"/>
      <c r="F102" s="55"/>
      <c r="H102" s="64" t="s">
        <v>2182</v>
      </c>
    </row>
    <row r="103" spans="1:10" x14ac:dyDescent="0.3">
      <c r="A103" s="22" t="s">
        <v>547</v>
      </c>
      <c r="B103" s="189" t="s">
        <v>144</v>
      </c>
      <c r="C103" s="23" t="s">
        <v>144</v>
      </c>
      <c r="D103" s="189" t="s">
        <v>144</v>
      </c>
      <c r="E103" s="23"/>
      <c r="F103" s="55"/>
      <c r="H103" s="64" t="s">
        <v>2182</v>
      </c>
    </row>
    <row r="104" spans="1:10" x14ac:dyDescent="0.3">
      <c r="A104" s="22" t="s">
        <v>1666</v>
      </c>
      <c r="B104" s="189" t="s">
        <v>646</v>
      </c>
      <c r="C104" s="23" t="s">
        <v>646</v>
      </c>
      <c r="D104" s="189" t="s">
        <v>646</v>
      </c>
      <c r="E104" s="23"/>
      <c r="F104" s="55"/>
      <c r="G104" s="101"/>
      <c r="H104" s="64" t="s">
        <v>2182</v>
      </c>
    </row>
    <row r="105" spans="1:10" s="48" customFormat="1" x14ac:dyDescent="0.3">
      <c r="A105" s="37" t="s">
        <v>307</v>
      </c>
      <c r="B105" s="189" t="s">
        <v>144</v>
      </c>
      <c r="C105" s="23" t="s">
        <v>144</v>
      </c>
      <c r="D105" s="189" t="s">
        <v>144</v>
      </c>
      <c r="E105" s="38"/>
      <c r="F105" s="55"/>
      <c r="G105" s="62"/>
      <c r="H105" s="64" t="s">
        <v>2182</v>
      </c>
      <c r="I105" s="62"/>
      <c r="J105" s="62"/>
    </row>
    <row r="106" spans="1:10" x14ac:dyDescent="0.3">
      <c r="A106" s="22" t="s">
        <v>863</v>
      </c>
      <c r="B106" s="189" t="s">
        <v>144</v>
      </c>
      <c r="C106" s="23" t="s">
        <v>144</v>
      </c>
      <c r="D106" s="189" t="s">
        <v>144</v>
      </c>
      <c r="E106" s="23"/>
      <c r="F106" s="55"/>
      <c r="H106" s="64" t="s">
        <v>2182</v>
      </c>
    </row>
    <row r="107" spans="1:10" ht="25" x14ac:dyDescent="0.3">
      <c r="A107" s="22" t="s">
        <v>308</v>
      </c>
      <c r="B107" s="189" t="s">
        <v>144</v>
      </c>
      <c r="C107" s="23" t="s">
        <v>144</v>
      </c>
      <c r="D107" s="189" t="s">
        <v>144</v>
      </c>
      <c r="E107" s="23"/>
      <c r="F107" s="55"/>
      <c r="H107" s="64" t="s">
        <v>2182</v>
      </c>
    </row>
    <row r="108" spans="1:10" ht="37.5" x14ac:dyDescent="0.3">
      <c r="A108" s="22" t="s">
        <v>403</v>
      </c>
      <c r="B108" s="189" t="s">
        <v>144</v>
      </c>
      <c r="C108" s="23" t="s">
        <v>144</v>
      </c>
      <c r="D108" s="189" t="s">
        <v>144</v>
      </c>
      <c r="E108" s="23"/>
      <c r="F108" s="55"/>
      <c r="H108" s="64" t="s">
        <v>2182</v>
      </c>
    </row>
    <row r="109" spans="1:10" x14ac:dyDescent="0.3">
      <c r="A109" s="22" t="s">
        <v>302</v>
      </c>
      <c r="B109" s="189" t="s">
        <v>144</v>
      </c>
      <c r="C109" s="23" t="s">
        <v>144</v>
      </c>
      <c r="D109" s="189" t="s">
        <v>144</v>
      </c>
      <c r="E109" s="23"/>
      <c r="F109" s="55"/>
      <c r="H109" s="64" t="s">
        <v>2182</v>
      </c>
    </row>
    <row r="110" spans="1:10" ht="52.5" customHeight="1" x14ac:dyDescent="0.3">
      <c r="A110" s="22" t="s">
        <v>309</v>
      </c>
      <c r="B110" s="189" t="s">
        <v>144</v>
      </c>
      <c r="C110" s="23" t="s">
        <v>144</v>
      </c>
      <c r="D110" s="189" t="s">
        <v>144</v>
      </c>
      <c r="E110" s="22" t="s">
        <v>511</v>
      </c>
      <c r="F110" s="55"/>
      <c r="H110" s="64" t="s">
        <v>2182</v>
      </c>
    </row>
    <row r="111" spans="1:10" ht="52.5" customHeight="1" x14ac:dyDescent="0.3">
      <c r="A111" s="22" t="s">
        <v>1739</v>
      </c>
      <c r="B111" s="189" t="s">
        <v>144</v>
      </c>
      <c r="C111" s="23" t="s">
        <v>144</v>
      </c>
      <c r="D111" s="189" t="s">
        <v>144</v>
      </c>
      <c r="E111" s="22" t="s">
        <v>1740</v>
      </c>
      <c r="F111" s="55"/>
      <c r="H111" s="64" t="s">
        <v>2182</v>
      </c>
    </row>
    <row r="112" spans="1:10" ht="37.5" x14ac:dyDescent="0.3">
      <c r="A112" s="22" t="s">
        <v>1498</v>
      </c>
      <c r="B112" s="189" t="s">
        <v>144</v>
      </c>
      <c r="C112" s="23" t="s">
        <v>144</v>
      </c>
      <c r="D112" s="189" t="s">
        <v>144</v>
      </c>
      <c r="E112" s="22" t="s">
        <v>310</v>
      </c>
      <c r="F112" s="55"/>
      <c r="H112" s="64" t="s">
        <v>2182</v>
      </c>
    </row>
    <row r="113" spans="1:10" x14ac:dyDescent="0.3">
      <c r="A113" s="22" t="s">
        <v>547</v>
      </c>
      <c r="B113" s="189" t="s">
        <v>144</v>
      </c>
      <c r="C113" s="23" t="s">
        <v>144</v>
      </c>
      <c r="D113" s="189" t="s">
        <v>144</v>
      </c>
      <c r="E113" s="23"/>
      <c r="F113" s="55"/>
      <c r="H113" s="64" t="s">
        <v>2182</v>
      </c>
    </row>
    <row r="114" spans="1:10" ht="25" x14ac:dyDescent="0.3">
      <c r="A114" s="22" t="s">
        <v>311</v>
      </c>
      <c r="B114" s="189" t="s">
        <v>144</v>
      </c>
      <c r="C114" s="23" t="s">
        <v>144</v>
      </c>
      <c r="D114" s="189" t="s">
        <v>144</v>
      </c>
      <c r="E114" s="22" t="s">
        <v>305</v>
      </c>
      <c r="F114" s="55"/>
      <c r="H114" s="64" t="s">
        <v>2182</v>
      </c>
    </row>
    <row r="115" spans="1:10" x14ac:dyDescent="0.3">
      <c r="A115" s="22" t="s">
        <v>1666</v>
      </c>
      <c r="B115" s="189" t="s">
        <v>144</v>
      </c>
      <c r="C115" s="23" t="s">
        <v>144</v>
      </c>
      <c r="D115" s="189" t="s">
        <v>144</v>
      </c>
      <c r="E115" s="22"/>
      <c r="F115" s="55"/>
      <c r="H115" s="64" t="s">
        <v>2182</v>
      </c>
    </row>
    <row r="116" spans="1:10" x14ac:dyDescent="0.3">
      <c r="A116" s="22" t="s">
        <v>599</v>
      </c>
      <c r="B116" s="189" t="s">
        <v>144</v>
      </c>
      <c r="C116" s="23" t="s">
        <v>144</v>
      </c>
      <c r="D116" s="189" t="s">
        <v>144</v>
      </c>
      <c r="E116" s="23"/>
      <c r="F116" s="55"/>
      <c r="H116" s="64" t="s">
        <v>2182</v>
      </c>
    </row>
    <row r="117" spans="1:10" x14ac:dyDescent="0.3">
      <c r="A117" s="22" t="s">
        <v>312</v>
      </c>
      <c r="B117" s="189" t="s">
        <v>144</v>
      </c>
      <c r="C117" s="23" t="s">
        <v>144</v>
      </c>
      <c r="D117" s="189" t="s">
        <v>144</v>
      </c>
      <c r="E117" s="23"/>
      <c r="F117" s="55"/>
      <c r="H117" s="64" t="s">
        <v>2182</v>
      </c>
    </row>
    <row r="118" spans="1:10" s="48" customFormat="1" x14ac:dyDescent="0.3">
      <c r="A118" s="37" t="s">
        <v>313</v>
      </c>
      <c r="B118" s="189" t="s">
        <v>144</v>
      </c>
      <c r="C118" s="23" t="s">
        <v>144</v>
      </c>
      <c r="D118" s="189" t="s">
        <v>144</v>
      </c>
      <c r="E118" s="38"/>
      <c r="F118" s="55"/>
      <c r="G118" s="62"/>
      <c r="H118" s="64" t="s">
        <v>2182</v>
      </c>
      <c r="I118" s="62"/>
      <c r="J118" s="62"/>
    </row>
    <row r="119" spans="1:10" x14ac:dyDescent="0.3">
      <c r="A119" s="22" t="s">
        <v>863</v>
      </c>
      <c r="B119" s="189" t="s">
        <v>144</v>
      </c>
      <c r="C119" s="23" t="s">
        <v>144</v>
      </c>
      <c r="D119" s="189" t="s">
        <v>144</v>
      </c>
      <c r="E119" s="23"/>
      <c r="F119" s="55"/>
      <c r="H119" s="64" t="s">
        <v>2182</v>
      </c>
    </row>
    <row r="120" spans="1:10" x14ac:dyDescent="0.3">
      <c r="A120" s="134" t="s">
        <v>2088</v>
      </c>
      <c r="B120" s="189" t="s">
        <v>144</v>
      </c>
      <c r="C120" s="23" t="s">
        <v>144</v>
      </c>
      <c r="D120" s="189" t="s">
        <v>144</v>
      </c>
      <c r="E120" s="23"/>
      <c r="F120" s="55"/>
      <c r="H120" s="64" t="s">
        <v>2182</v>
      </c>
    </row>
    <row r="121" spans="1:10" ht="37.5" x14ac:dyDescent="0.3">
      <c r="A121" s="22" t="s">
        <v>2089</v>
      </c>
      <c r="B121" s="189" t="s">
        <v>144</v>
      </c>
      <c r="C121" s="23" t="s">
        <v>144</v>
      </c>
      <c r="D121" s="189" t="s">
        <v>144</v>
      </c>
      <c r="E121" s="23" t="s">
        <v>2090</v>
      </c>
      <c r="F121" s="55"/>
      <c r="G121" s="101"/>
      <c r="H121" s="64"/>
    </row>
    <row r="122" spans="1:10" x14ac:dyDescent="0.3">
      <c r="A122" s="22" t="s">
        <v>1741</v>
      </c>
      <c r="B122" s="189" t="s">
        <v>144</v>
      </c>
      <c r="C122" s="23" t="s">
        <v>144</v>
      </c>
      <c r="D122" s="189" t="s">
        <v>144</v>
      </c>
      <c r="E122" s="23"/>
      <c r="F122" s="55"/>
      <c r="H122" s="64" t="s">
        <v>2182</v>
      </c>
    </row>
    <row r="123" spans="1:10" ht="25" x14ac:dyDescent="0.3">
      <c r="A123" s="22" t="s">
        <v>2091</v>
      </c>
      <c r="B123" s="189" t="s">
        <v>144</v>
      </c>
      <c r="C123" s="23" t="s">
        <v>144</v>
      </c>
      <c r="D123" s="189" t="s">
        <v>144</v>
      </c>
      <c r="E123" s="23" t="s">
        <v>2092</v>
      </c>
      <c r="F123" s="55"/>
      <c r="H123" s="64" t="s">
        <v>2182</v>
      </c>
    </row>
    <row r="124" spans="1:10" x14ac:dyDescent="0.3">
      <c r="A124" s="24" t="s">
        <v>1233</v>
      </c>
      <c r="B124" s="189" t="s">
        <v>144</v>
      </c>
      <c r="C124" s="23" t="s">
        <v>144</v>
      </c>
      <c r="D124" s="189" t="s">
        <v>144</v>
      </c>
      <c r="E124" s="23"/>
      <c r="F124" s="55"/>
      <c r="H124" s="64" t="s">
        <v>2182</v>
      </c>
    </row>
    <row r="125" spans="1:10" x14ac:dyDescent="0.3">
      <c r="A125" s="24" t="s">
        <v>2093</v>
      </c>
      <c r="B125" s="189" t="s">
        <v>144</v>
      </c>
      <c r="C125" s="23" t="s">
        <v>144</v>
      </c>
      <c r="D125" s="189" t="s">
        <v>144</v>
      </c>
      <c r="E125" s="23"/>
      <c r="F125" s="55"/>
      <c r="H125" s="64" t="s">
        <v>2182</v>
      </c>
    </row>
    <row r="126" spans="1:10" x14ac:dyDescent="0.3">
      <c r="A126" s="24" t="s">
        <v>547</v>
      </c>
      <c r="B126" s="189" t="s">
        <v>145</v>
      </c>
      <c r="C126" s="23" t="s">
        <v>145</v>
      </c>
      <c r="D126" s="189" t="s">
        <v>145</v>
      </c>
      <c r="E126" s="23"/>
      <c r="F126" s="55"/>
      <c r="H126" s="64" t="s">
        <v>2182</v>
      </c>
    </row>
    <row r="127" spans="1:10" x14ac:dyDescent="0.3">
      <c r="A127" s="22" t="s">
        <v>1666</v>
      </c>
      <c r="B127" s="189" t="s">
        <v>145</v>
      </c>
      <c r="C127" s="23" t="s">
        <v>145</v>
      </c>
      <c r="D127" s="189" t="s">
        <v>145</v>
      </c>
      <c r="E127" s="23"/>
      <c r="F127" s="55"/>
      <c r="H127" s="64" t="s">
        <v>2182</v>
      </c>
    </row>
    <row r="128" spans="1:10" s="48" customFormat="1" x14ac:dyDescent="0.3">
      <c r="A128" s="37" t="s">
        <v>413</v>
      </c>
      <c r="B128" s="189" t="s">
        <v>144</v>
      </c>
      <c r="C128" s="23" t="s">
        <v>144</v>
      </c>
      <c r="D128" s="189" t="s">
        <v>144</v>
      </c>
      <c r="E128" s="38"/>
      <c r="F128" s="55"/>
      <c r="G128" s="62"/>
      <c r="H128" s="64" t="s">
        <v>2182</v>
      </c>
      <c r="I128" s="62"/>
      <c r="J128" s="62"/>
    </row>
    <row r="129" spans="1:8" x14ac:dyDescent="0.3">
      <c r="A129" s="22" t="s">
        <v>546</v>
      </c>
      <c r="B129" s="189" t="s">
        <v>144</v>
      </c>
      <c r="C129" s="23" t="s">
        <v>144</v>
      </c>
      <c r="D129" s="189" t="s">
        <v>144</v>
      </c>
      <c r="E129" s="23"/>
      <c r="F129" s="55"/>
      <c r="H129" s="64" t="s">
        <v>2182</v>
      </c>
    </row>
    <row r="130" spans="1:8" ht="37.5" x14ac:dyDescent="0.3">
      <c r="A130" s="22" t="s">
        <v>1686</v>
      </c>
      <c r="B130" s="189" t="s">
        <v>144</v>
      </c>
      <c r="C130" s="23" t="s">
        <v>144</v>
      </c>
      <c r="D130" s="189" t="s">
        <v>144</v>
      </c>
      <c r="E130" s="23"/>
      <c r="F130" s="55"/>
      <c r="H130" s="64" t="s">
        <v>2182</v>
      </c>
    </row>
    <row r="131" spans="1:8" x14ac:dyDescent="0.3">
      <c r="A131" s="22" t="s">
        <v>863</v>
      </c>
      <c r="B131" s="189" t="s">
        <v>646</v>
      </c>
      <c r="C131" s="23" t="s">
        <v>646</v>
      </c>
      <c r="D131" s="189" t="s">
        <v>843</v>
      </c>
      <c r="E131" s="23"/>
      <c r="F131" s="55"/>
      <c r="H131" s="64" t="s">
        <v>2182</v>
      </c>
    </row>
    <row r="132" spans="1:8" ht="25" x14ac:dyDescent="0.3">
      <c r="A132" s="22" t="s">
        <v>143</v>
      </c>
      <c r="B132" s="189" t="s">
        <v>646</v>
      </c>
      <c r="C132" s="23" t="s">
        <v>646</v>
      </c>
      <c r="D132" s="189" t="s">
        <v>843</v>
      </c>
      <c r="E132" s="23"/>
      <c r="F132" s="55"/>
      <c r="H132" s="64" t="s">
        <v>2182</v>
      </c>
    </row>
    <row r="133" spans="1:8" x14ac:dyDescent="0.3">
      <c r="A133" s="22" t="s">
        <v>547</v>
      </c>
      <c r="B133" s="189" t="s">
        <v>646</v>
      </c>
      <c r="C133" s="23" t="s">
        <v>646</v>
      </c>
      <c r="D133" s="189" t="s">
        <v>843</v>
      </c>
      <c r="E133" s="23"/>
      <c r="F133" s="55"/>
      <c r="H133" s="64" t="s">
        <v>2182</v>
      </c>
    </row>
    <row r="134" spans="1:8" ht="37.5" x14ac:dyDescent="0.35">
      <c r="A134" s="22" t="s">
        <v>1499</v>
      </c>
      <c r="B134" s="189" t="s">
        <v>646</v>
      </c>
      <c r="C134" s="23" t="s">
        <v>646</v>
      </c>
      <c r="D134" s="189" t="s">
        <v>843</v>
      </c>
      <c r="E134" s="22" t="s">
        <v>414</v>
      </c>
      <c r="F134" s="55"/>
      <c r="G134" s="141"/>
      <c r="H134" s="64" t="s">
        <v>2182</v>
      </c>
    </row>
    <row r="135" spans="1:8" ht="50" x14ac:dyDescent="0.3">
      <c r="A135" s="22" t="s">
        <v>2689</v>
      </c>
      <c r="B135" s="189" t="s">
        <v>646</v>
      </c>
      <c r="C135" s="23" t="s">
        <v>646</v>
      </c>
      <c r="D135" s="189" t="s">
        <v>843</v>
      </c>
      <c r="E135" s="22" t="s">
        <v>415</v>
      </c>
      <c r="F135" s="55"/>
      <c r="G135" s="142"/>
      <c r="H135" s="64" t="s">
        <v>2182</v>
      </c>
    </row>
    <row r="136" spans="1:8" ht="25" x14ac:dyDescent="0.3">
      <c r="A136" s="22" t="s">
        <v>416</v>
      </c>
      <c r="B136" s="189" t="s">
        <v>646</v>
      </c>
      <c r="C136" s="23"/>
      <c r="D136" s="189"/>
      <c r="E136" s="22" t="s">
        <v>417</v>
      </c>
      <c r="F136" s="55"/>
      <c r="H136" s="64" t="s">
        <v>2182</v>
      </c>
    </row>
    <row r="137" spans="1:8" x14ac:dyDescent="0.3">
      <c r="A137" s="24" t="s">
        <v>1234</v>
      </c>
      <c r="B137" s="189" t="s">
        <v>646</v>
      </c>
      <c r="C137" s="23"/>
      <c r="D137" s="189"/>
      <c r="E137" s="23"/>
      <c r="F137" s="55"/>
      <c r="H137" s="64" t="s">
        <v>2182</v>
      </c>
    </row>
    <row r="138" spans="1:8" x14ac:dyDescent="0.3">
      <c r="A138" s="24" t="s">
        <v>1855</v>
      </c>
      <c r="B138" s="189" t="s">
        <v>646</v>
      </c>
      <c r="C138" s="23"/>
      <c r="D138" s="189"/>
      <c r="E138" s="23"/>
      <c r="F138" s="55"/>
      <c r="H138" s="64" t="s">
        <v>2182</v>
      </c>
    </row>
    <row r="139" spans="1:8" x14ac:dyDescent="0.3">
      <c r="A139" s="37" t="s">
        <v>464</v>
      </c>
      <c r="B139" s="189" t="s">
        <v>144</v>
      </c>
      <c r="C139" s="23" t="s">
        <v>144</v>
      </c>
      <c r="D139" s="189" t="s">
        <v>144</v>
      </c>
      <c r="E139" s="23"/>
      <c r="F139" s="55"/>
      <c r="H139" s="64" t="s">
        <v>2182</v>
      </c>
    </row>
    <row r="140" spans="1:8" ht="25" x14ac:dyDescent="0.3">
      <c r="A140" s="22" t="s">
        <v>1742</v>
      </c>
      <c r="B140" s="189" t="s">
        <v>144</v>
      </c>
      <c r="C140" s="23" t="s">
        <v>144</v>
      </c>
      <c r="D140" s="189" t="s">
        <v>144</v>
      </c>
      <c r="E140" s="23"/>
      <c r="F140" s="55"/>
      <c r="H140" s="64" t="s">
        <v>2182</v>
      </c>
    </row>
    <row r="141" spans="1:8" x14ac:dyDescent="0.3">
      <c r="A141" s="22" t="s">
        <v>546</v>
      </c>
      <c r="B141" s="189" t="s">
        <v>144</v>
      </c>
      <c r="C141" s="23" t="s">
        <v>144</v>
      </c>
      <c r="D141" s="189" t="s">
        <v>144</v>
      </c>
      <c r="E141" s="23"/>
      <c r="F141" s="55"/>
      <c r="H141" s="64" t="s">
        <v>2182</v>
      </c>
    </row>
    <row r="142" spans="1:8" ht="25" x14ac:dyDescent="0.3">
      <c r="A142" s="22" t="s">
        <v>1743</v>
      </c>
      <c r="B142" s="189" t="s">
        <v>144</v>
      </c>
      <c r="C142" s="23" t="s">
        <v>144</v>
      </c>
      <c r="D142" s="189" t="s">
        <v>144</v>
      </c>
      <c r="E142" s="23"/>
      <c r="F142" s="55"/>
      <c r="H142" s="64" t="s">
        <v>2182</v>
      </c>
    </row>
    <row r="143" spans="1:8" x14ac:dyDescent="0.3">
      <c r="A143" s="22" t="s">
        <v>406</v>
      </c>
      <c r="B143" s="189" t="s">
        <v>144</v>
      </c>
      <c r="C143" s="23" t="s">
        <v>144</v>
      </c>
      <c r="D143" s="189" t="s">
        <v>144</v>
      </c>
      <c r="E143" s="23"/>
      <c r="F143" s="55"/>
      <c r="H143" s="64" t="s">
        <v>2182</v>
      </c>
    </row>
    <row r="144" spans="1:8" ht="37.5" x14ac:dyDescent="0.3">
      <c r="A144" s="22" t="s">
        <v>2690</v>
      </c>
      <c r="B144" s="189" t="s">
        <v>144</v>
      </c>
      <c r="C144" s="23" t="s">
        <v>144</v>
      </c>
      <c r="D144" s="189" t="s">
        <v>144</v>
      </c>
      <c r="E144" s="22" t="s">
        <v>124</v>
      </c>
      <c r="F144" s="55"/>
      <c r="H144" s="64" t="s">
        <v>2182</v>
      </c>
    </row>
    <row r="145" spans="1:8" ht="50" x14ac:dyDescent="0.3">
      <c r="A145" s="22" t="s">
        <v>2824</v>
      </c>
      <c r="B145" s="189" t="s">
        <v>144</v>
      </c>
      <c r="C145" s="23" t="s">
        <v>144</v>
      </c>
      <c r="D145" s="189" t="s">
        <v>144</v>
      </c>
      <c r="E145" s="22" t="s">
        <v>125</v>
      </c>
      <c r="F145" s="55"/>
      <c r="H145" s="64" t="s">
        <v>2182</v>
      </c>
    </row>
    <row r="146" spans="1:8" ht="25" x14ac:dyDescent="0.3">
      <c r="A146" s="22" t="s">
        <v>992</v>
      </c>
      <c r="B146" s="189" t="s">
        <v>144</v>
      </c>
      <c r="C146" s="23" t="s">
        <v>144</v>
      </c>
      <c r="D146" s="189" t="s">
        <v>144</v>
      </c>
      <c r="E146" s="22" t="s">
        <v>124</v>
      </c>
      <c r="F146" s="55"/>
      <c r="H146" s="64" t="s">
        <v>2182</v>
      </c>
    </row>
    <row r="147" spans="1:8" x14ac:dyDescent="0.3">
      <c r="A147" s="22" t="s">
        <v>547</v>
      </c>
      <c r="B147" s="189" t="s">
        <v>646</v>
      </c>
      <c r="C147" s="23" t="s">
        <v>646</v>
      </c>
      <c r="D147" s="189" t="s">
        <v>646</v>
      </c>
      <c r="E147" s="23"/>
      <c r="F147" s="55"/>
      <c r="H147" s="64" t="s">
        <v>2182</v>
      </c>
    </row>
    <row r="148" spans="1:8" ht="12.75" customHeight="1" x14ac:dyDescent="0.3">
      <c r="A148" s="22" t="s">
        <v>2691</v>
      </c>
      <c r="B148" s="189" t="s">
        <v>646</v>
      </c>
      <c r="C148" s="23" t="s">
        <v>646</v>
      </c>
      <c r="D148" s="189"/>
      <c r="E148" s="23"/>
      <c r="F148" s="55"/>
      <c r="H148" s="64" t="s">
        <v>2182</v>
      </c>
    </row>
    <row r="149" spans="1:8" x14ac:dyDescent="0.3">
      <c r="A149" s="22" t="s">
        <v>1235</v>
      </c>
      <c r="B149" s="189" t="s">
        <v>646</v>
      </c>
      <c r="C149" s="23" t="s">
        <v>646</v>
      </c>
      <c r="D149" s="189"/>
      <c r="E149" s="23"/>
      <c r="F149" s="55"/>
      <c r="H149" s="64" t="s">
        <v>2182</v>
      </c>
    </row>
    <row r="150" spans="1:8" ht="25" x14ac:dyDescent="0.3">
      <c r="A150" s="22" t="s">
        <v>1236</v>
      </c>
      <c r="B150" s="189" t="s">
        <v>646</v>
      </c>
      <c r="C150" s="23" t="s">
        <v>646</v>
      </c>
      <c r="D150" s="189"/>
      <c r="E150" s="23"/>
      <c r="F150" s="55"/>
      <c r="H150" s="64" t="s">
        <v>2182</v>
      </c>
    </row>
    <row r="151" spans="1:8" ht="37.5" x14ac:dyDescent="0.3">
      <c r="A151" s="22" t="s">
        <v>1237</v>
      </c>
      <c r="B151" s="189" t="s">
        <v>646</v>
      </c>
      <c r="C151" s="23" t="s">
        <v>646</v>
      </c>
      <c r="D151" s="189"/>
      <c r="E151" s="23"/>
      <c r="F151" s="55"/>
      <c r="H151" s="64" t="s">
        <v>2182</v>
      </c>
    </row>
    <row r="152" spans="1:8" ht="39.75" customHeight="1" x14ac:dyDescent="0.3">
      <c r="A152" s="22" t="s">
        <v>2825</v>
      </c>
      <c r="B152" s="189" t="s">
        <v>646</v>
      </c>
      <c r="C152" s="23" t="s">
        <v>646</v>
      </c>
      <c r="D152" s="189"/>
      <c r="E152" s="23"/>
      <c r="F152" s="55"/>
      <c r="H152" s="64" t="s">
        <v>2182</v>
      </c>
    </row>
    <row r="153" spans="1:8" ht="30.75" customHeight="1" x14ac:dyDescent="0.3">
      <c r="A153" s="22" t="s">
        <v>2094</v>
      </c>
      <c r="B153" s="189"/>
      <c r="C153" s="23"/>
      <c r="D153" s="189" t="s">
        <v>646</v>
      </c>
      <c r="E153" s="23" t="s">
        <v>2095</v>
      </c>
      <c r="F153" s="55"/>
      <c r="H153" s="64" t="s">
        <v>2182</v>
      </c>
    </row>
    <row r="154" spans="1:8" x14ac:dyDescent="0.3">
      <c r="A154" s="22" t="s">
        <v>438</v>
      </c>
      <c r="B154" s="189" t="s">
        <v>646</v>
      </c>
      <c r="C154" s="23" t="s">
        <v>646</v>
      </c>
      <c r="D154" s="189"/>
      <c r="E154" s="22" t="s">
        <v>439</v>
      </c>
      <c r="F154" s="55"/>
      <c r="H154" s="64" t="s">
        <v>2182</v>
      </c>
    </row>
    <row r="155" spans="1:8" ht="56.25" customHeight="1" x14ac:dyDescent="0.3">
      <c r="A155" s="22" t="s">
        <v>2692</v>
      </c>
      <c r="B155" s="189" t="s">
        <v>646</v>
      </c>
      <c r="C155" s="23"/>
      <c r="D155" s="189"/>
      <c r="E155" s="22"/>
      <c r="F155" s="55"/>
      <c r="H155" s="64"/>
    </row>
    <row r="156" spans="1:8" ht="26.25" customHeight="1" x14ac:dyDescent="0.3">
      <c r="A156" s="22" t="s">
        <v>1744</v>
      </c>
      <c r="B156" s="189"/>
      <c r="C156" s="23" t="s">
        <v>646</v>
      </c>
      <c r="D156" s="189"/>
      <c r="E156" s="23"/>
      <c r="F156" s="55"/>
      <c r="H156" s="64" t="s">
        <v>2182</v>
      </c>
    </row>
    <row r="157" spans="1:8" x14ac:dyDescent="0.3">
      <c r="A157" s="22" t="s">
        <v>599</v>
      </c>
      <c r="B157" s="189" t="s">
        <v>145</v>
      </c>
      <c r="C157" s="23" t="s">
        <v>145</v>
      </c>
      <c r="D157" s="189" t="s">
        <v>145</v>
      </c>
      <c r="E157" s="23"/>
      <c r="F157" s="55"/>
      <c r="H157" s="64" t="s">
        <v>2182</v>
      </c>
    </row>
    <row r="158" spans="1:8" ht="37.5" x14ac:dyDescent="0.3">
      <c r="A158" s="22" t="s">
        <v>655</v>
      </c>
      <c r="B158" s="189" t="s">
        <v>145</v>
      </c>
      <c r="C158" s="23" t="s">
        <v>145</v>
      </c>
      <c r="D158" s="189" t="s">
        <v>145</v>
      </c>
      <c r="E158" s="22" t="s">
        <v>1745</v>
      </c>
      <c r="F158" s="55"/>
      <c r="H158" s="64" t="s">
        <v>2182</v>
      </c>
    </row>
    <row r="159" spans="1:8" ht="68.150000000000006" customHeight="1" x14ac:dyDescent="0.3">
      <c r="A159" s="22" t="s">
        <v>2914</v>
      </c>
      <c r="B159" s="189" t="s">
        <v>145</v>
      </c>
      <c r="C159" s="23" t="s">
        <v>145</v>
      </c>
      <c r="D159" s="189" t="s">
        <v>145</v>
      </c>
      <c r="E159" s="22"/>
      <c r="F159" s="55"/>
      <c r="G159" s="62" t="s">
        <v>1856</v>
      </c>
      <c r="H159" s="64" t="s">
        <v>2182</v>
      </c>
    </row>
    <row r="160" spans="1:8" x14ac:dyDescent="0.3">
      <c r="A160" s="87" t="s">
        <v>630</v>
      </c>
      <c r="B160" s="189" t="s">
        <v>144</v>
      </c>
      <c r="C160" s="23"/>
      <c r="D160" s="189"/>
      <c r="E160" s="23"/>
      <c r="F160" s="55"/>
      <c r="H160" s="64" t="s">
        <v>2182</v>
      </c>
    </row>
    <row r="161" spans="1:8" x14ac:dyDescent="0.3">
      <c r="A161" s="22" t="s">
        <v>546</v>
      </c>
      <c r="B161" s="189" t="s">
        <v>144</v>
      </c>
      <c r="C161" s="23"/>
      <c r="D161" s="189"/>
      <c r="E161" s="22"/>
      <c r="F161" s="55"/>
      <c r="H161" s="64" t="s">
        <v>2182</v>
      </c>
    </row>
    <row r="162" spans="1:8" ht="25" x14ac:dyDescent="0.3">
      <c r="A162" s="22" t="s">
        <v>167</v>
      </c>
      <c r="B162" s="189" t="s">
        <v>144</v>
      </c>
      <c r="C162" s="23"/>
      <c r="D162" s="189"/>
      <c r="E162" s="86" t="s">
        <v>168</v>
      </c>
      <c r="F162" s="55"/>
      <c r="H162" s="64" t="s">
        <v>2182</v>
      </c>
    </row>
    <row r="163" spans="1:8" x14ac:dyDescent="0.3">
      <c r="A163" s="86" t="s">
        <v>2693</v>
      </c>
      <c r="B163" s="189" t="s">
        <v>646</v>
      </c>
      <c r="C163" s="23"/>
      <c r="D163" s="189"/>
      <c r="E163" s="22"/>
      <c r="F163" s="55"/>
      <c r="H163" s="64" t="s">
        <v>2182</v>
      </c>
    </row>
    <row r="164" spans="1:8" x14ac:dyDescent="0.3">
      <c r="A164" s="88" t="s">
        <v>1238</v>
      </c>
      <c r="B164" s="189" t="s">
        <v>646</v>
      </c>
      <c r="C164" s="23"/>
      <c r="D164" s="189"/>
      <c r="E164" s="22"/>
      <c r="F164" s="55"/>
      <c r="H164" s="64" t="s">
        <v>2182</v>
      </c>
    </row>
    <row r="165" spans="1:8" x14ac:dyDescent="0.3">
      <c r="A165" s="88" t="s">
        <v>994</v>
      </c>
      <c r="B165" s="189" t="s">
        <v>646</v>
      </c>
      <c r="C165" s="23"/>
      <c r="D165" s="189"/>
      <c r="E165" s="22"/>
      <c r="F165" s="55"/>
      <c r="H165" s="64" t="s">
        <v>2182</v>
      </c>
    </row>
    <row r="166" spans="1:8" x14ac:dyDescent="0.3">
      <c r="A166" s="22" t="s">
        <v>547</v>
      </c>
      <c r="B166" s="189" t="s">
        <v>646</v>
      </c>
      <c r="C166" s="23"/>
      <c r="D166" s="189"/>
      <c r="E166" s="22"/>
      <c r="F166" s="55"/>
      <c r="H166" s="64" t="s">
        <v>2182</v>
      </c>
    </row>
    <row r="167" spans="1:8" x14ac:dyDescent="0.3">
      <c r="A167" s="22" t="s">
        <v>995</v>
      </c>
      <c r="B167" s="189" t="s">
        <v>646</v>
      </c>
      <c r="C167" s="23"/>
      <c r="D167" s="189"/>
      <c r="E167" s="22" t="s">
        <v>139</v>
      </c>
      <c r="F167" s="55"/>
      <c r="H167" s="64" t="s">
        <v>2182</v>
      </c>
    </row>
    <row r="168" spans="1:8" x14ac:dyDescent="0.3">
      <c r="A168" s="22" t="s">
        <v>996</v>
      </c>
      <c r="B168" s="189" t="s">
        <v>646</v>
      </c>
      <c r="C168" s="23"/>
      <c r="D168" s="189"/>
      <c r="E168" s="22" t="s">
        <v>140</v>
      </c>
      <c r="F168" s="55"/>
      <c r="H168" s="64" t="s">
        <v>2182</v>
      </c>
    </row>
    <row r="169" spans="1:8" x14ac:dyDescent="0.3">
      <c r="A169" s="22" t="s">
        <v>631</v>
      </c>
      <c r="B169" s="189" t="s">
        <v>646</v>
      </c>
      <c r="C169" s="23"/>
      <c r="D169" s="189"/>
      <c r="E169" s="22" t="s">
        <v>141</v>
      </c>
      <c r="F169" s="55"/>
      <c r="H169" s="64" t="s">
        <v>2182</v>
      </c>
    </row>
    <row r="170" spans="1:8" x14ac:dyDescent="0.3">
      <c r="A170" s="22" t="s">
        <v>1239</v>
      </c>
      <c r="B170" s="189" t="s">
        <v>646</v>
      </c>
      <c r="C170" s="23"/>
      <c r="D170" s="189"/>
      <c r="E170" s="22"/>
      <c r="F170" s="55"/>
      <c r="H170" s="64" t="s">
        <v>2182</v>
      </c>
    </row>
    <row r="171" spans="1:8" x14ac:dyDescent="0.3">
      <c r="A171" s="22" t="s">
        <v>997</v>
      </c>
      <c r="B171" s="189" t="s">
        <v>646</v>
      </c>
      <c r="C171" s="23"/>
      <c r="D171" s="189"/>
      <c r="E171" s="22"/>
      <c r="F171" s="55"/>
      <c r="H171" s="64" t="s">
        <v>2182</v>
      </c>
    </row>
    <row r="172" spans="1:8" x14ac:dyDescent="0.3">
      <c r="A172" s="22" t="s">
        <v>998</v>
      </c>
      <c r="B172" s="189" t="s">
        <v>646</v>
      </c>
      <c r="C172" s="23"/>
      <c r="D172" s="189"/>
      <c r="E172" s="22"/>
      <c r="F172" s="55"/>
      <c r="H172" s="64" t="s">
        <v>2182</v>
      </c>
    </row>
    <row r="173" spans="1:8" ht="25" x14ac:dyDescent="0.3">
      <c r="A173" s="22" t="s">
        <v>474</v>
      </c>
      <c r="B173" s="189" t="s">
        <v>646</v>
      </c>
      <c r="C173" s="23"/>
      <c r="D173" s="189"/>
      <c r="E173" s="22"/>
      <c r="F173" s="55"/>
      <c r="H173" s="64" t="s">
        <v>2182</v>
      </c>
    </row>
  </sheetData>
  <sheetProtection algorithmName="SHA-512" hashValue="4i6gO7XzrnMkJX74qRKJ6r8jWDDNxMoGMhtcyffDCvkIETdYOEnbJEKXbvue2M89wFJ92cjVy9lC+gazmS0Z4A==" saltValue="MWgbXIbb/pA9jBQNI21mcg==" spinCount="100000" sheet="1" objects="1" scenarios="1" autoFilter="0"/>
  <autoFilter ref="B5:G173" xr:uid="{00000000-0009-0000-0000-00000C000000}"/>
  <customSheetViews>
    <customSheetView guid="{33D191C9-AE75-45EC-B301-B583C3381734}" showGridLines="0" fitToPage="1" printArea="1" showAutoFilter="1">
      <pane ySplit="5" topLeftCell="A6" activePane="bottomLeft" state="frozen"/>
      <selection pane="bottomLeft" activeCell="A10" sqref="A10"/>
      <pageMargins left="0.75" right="0.75" top="1" bottom="1" header="0.5" footer="0.5"/>
      <pageSetup paperSize="9" scale="79" fitToHeight="100" orientation="landscape" r:id="rId1"/>
      <headerFooter alignWithMargins="0"/>
      <autoFilter ref="B1:G1" xr:uid="{CD4031F2-4859-4E59-B951-31DAB2C8FF1E}"/>
    </customSheetView>
  </customSheetViews>
  <mergeCells count="1">
    <mergeCell ref="B4:F4"/>
  </mergeCells>
  <phoneticPr fontId="2" type="noConversion"/>
  <dataValidations count="1">
    <dataValidation type="list" allowBlank="1" showInputMessage="1" showErrorMessage="1" sqref="F6:F173" xr:uid="{00000000-0002-0000-0C00-000000000000}">
      <formula1>"Akkoord,Opmerking,N.v.t.,,"</formula1>
    </dataValidation>
  </dataValidations>
  <hyperlinks>
    <hyperlink ref="A6" location="'Eigen vermogen'!A4" display="ALGEMEEN" xr:uid="{00000000-0004-0000-0C00-000000000000}"/>
    <hyperlink ref="A69" location="'Eigen vermogen'!A61" display="Wettelijke reserves" xr:uid="{00000000-0004-0000-0C00-000001000000}"/>
    <hyperlink ref="A87" location="'Eigen vermogen'!A78" display="Herwaarderingsreserve" xr:uid="{00000000-0004-0000-0C00-000002000000}"/>
    <hyperlink ref="A105" location="'Eigen vermogen'!A97" display="Reserve deelneming" xr:uid="{00000000-0004-0000-0C00-000003000000}"/>
    <hyperlink ref="A118" location="'Eigen vermogen'!A108" display="Andere reserves" xr:uid="{00000000-0004-0000-0C00-000004000000}"/>
    <hyperlink ref="A128" location="'Eigen vermogen'!A117" display="Groepsvermogen" xr:uid="{00000000-0004-0000-0C00-000005000000}"/>
    <hyperlink ref="A139" location="'Eigen vermogen'!A129" display="Opties" xr:uid="{00000000-0004-0000-0C00-000006000000}"/>
    <hyperlink ref="A5" location="'Eigen vermogen'!A2" display="EIGEN VERMOGEN" xr:uid="{00000000-0004-0000-0C00-000007000000}"/>
  </hyperlinks>
  <pageMargins left="0.75" right="0.75" top="1" bottom="1" header="0.5" footer="0.5"/>
  <pageSetup paperSize="9" scale="79"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318" r:id="rId5" name="Button 6">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3">
    <tabColor rgb="FF951B81"/>
    <pageSetUpPr fitToPage="1"/>
  </sheetPr>
  <dimension ref="A1:J183"/>
  <sheetViews>
    <sheetView showGridLines="0" zoomScaleNormal="100" workbookViewId="0">
      <pane ySplit="5" topLeftCell="A151" activePane="bottomLeft" state="frozen"/>
      <selection activeCell="A119" sqref="A119"/>
      <selection pane="bottomLeft" activeCell="A182" sqref="A182"/>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2.453125" style="6" customWidth="1"/>
    <col min="6" max="6" width="10.7265625" style="58" customWidth="1"/>
    <col min="7" max="7" width="62.4531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6" t="str">
        <f>CONCATENATE("Klant en boekjaar: ",Klantnummer,"; ",Naam_klant,";  ",Boekjaar)</f>
        <v xml:space="preserve">Klant en boekjaar: ; ;  </v>
      </c>
      <c r="C4" s="255"/>
      <c r="D4" s="255"/>
      <c r="E4" s="255"/>
      <c r="F4" s="255"/>
    </row>
    <row r="5" spans="1:10" ht="15.5" x14ac:dyDescent="0.25">
      <c r="A5" s="214" t="s">
        <v>814</v>
      </c>
      <c r="B5" s="219" t="s">
        <v>642</v>
      </c>
      <c r="C5" s="219" t="s">
        <v>643</v>
      </c>
      <c r="D5" s="219" t="s">
        <v>644</v>
      </c>
      <c r="E5" s="220" t="s">
        <v>645</v>
      </c>
      <c r="F5" s="219" t="s">
        <v>54</v>
      </c>
      <c r="G5" s="199" t="s">
        <v>2858</v>
      </c>
    </row>
    <row r="6" spans="1:10" s="46" customFormat="1" ht="25" x14ac:dyDescent="0.3">
      <c r="A6" s="138" t="s">
        <v>814</v>
      </c>
      <c r="B6" s="200" t="s">
        <v>144</v>
      </c>
      <c r="C6" s="2" t="s">
        <v>144</v>
      </c>
      <c r="D6" s="200" t="s">
        <v>144</v>
      </c>
      <c r="E6" s="31" t="s">
        <v>2575</v>
      </c>
      <c r="F6" s="55"/>
      <c r="G6" s="60"/>
      <c r="H6" s="64"/>
      <c r="I6" s="60"/>
      <c r="J6" s="60"/>
    </row>
    <row r="7" spans="1:10" s="46" customFormat="1" x14ac:dyDescent="0.3">
      <c r="A7" s="40" t="s">
        <v>546</v>
      </c>
      <c r="B7" s="200" t="s">
        <v>144</v>
      </c>
      <c r="C7" s="2" t="s">
        <v>144</v>
      </c>
      <c r="D7" s="200" t="s">
        <v>144</v>
      </c>
      <c r="E7" s="41"/>
      <c r="F7" s="55"/>
      <c r="G7" s="60"/>
      <c r="H7" s="64" t="s">
        <v>2182</v>
      </c>
      <c r="I7" s="60"/>
      <c r="J7" s="60"/>
    </row>
    <row r="8" spans="1:10" ht="37.5" x14ac:dyDescent="0.3">
      <c r="A8" s="10" t="s">
        <v>815</v>
      </c>
      <c r="B8" s="200" t="s">
        <v>144</v>
      </c>
      <c r="C8" s="2" t="s">
        <v>144</v>
      </c>
      <c r="D8" s="200" t="s">
        <v>144</v>
      </c>
      <c r="E8" s="16" t="s">
        <v>274</v>
      </c>
      <c r="F8" s="55"/>
      <c r="H8" s="64" t="s">
        <v>2182</v>
      </c>
    </row>
    <row r="9" spans="1:10" x14ac:dyDescent="0.3">
      <c r="A9" s="10" t="s">
        <v>863</v>
      </c>
      <c r="B9" s="200" t="s">
        <v>144</v>
      </c>
      <c r="C9" s="2" t="s">
        <v>144</v>
      </c>
      <c r="D9" s="200" t="s">
        <v>144</v>
      </c>
      <c r="E9" s="11"/>
      <c r="F9" s="55"/>
      <c r="H9" s="64" t="s">
        <v>2182</v>
      </c>
    </row>
    <row r="10" spans="1:10" ht="54.75" customHeight="1" x14ac:dyDescent="0.3">
      <c r="A10" s="16" t="s">
        <v>1240</v>
      </c>
      <c r="B10" s="200" t="s">
        <v>144</v>
      </c>
      <c r="C10" s="2" t="s">
        <v>144</v>
      </c>
      <c r="D10" s="200" t="s">
        <v>144</v>
      </c>
      <c r="E10" s="10" t="s">
        <v>816</v>
      </c>
      <c r="F10" s="55"/>
      <c r="H10" s="64" t="s">
        <v>2182</v>
      </c>
    </row>
    <row r="11" spans="1:10" ht="50" x14ac:dyDescent="0.3">
      <c r="A11" s="16" t="s">
        <v>1241</v>
      </c>
      <c r="B11" s="200" t="s">
        <v>144</v>
      </c>
      <c r="C11" s="2" t="s">
        <v>144</v>
      </c>
      <c r="D11" s="200" t="s">
        <v>144</v>
      </c>
      <c r="E11" s="10" t="s">
        <v>817</v>
      </c>
      <c r="F11" s="55"/>
      <c r="H11" s="64" t="s">
        <v>2182</v>
      </c>
    </row>
    <row r="12" spans="1:10" ht="30" customHeight="1" x14ac:dyDescent="0.3">
      <c r="A12" s="10" t="s">
        <v>291</v>
      </c>
      <c r="B12" s="200" t="s">
        <v>144</v>
      </c>
      <c r="C12" s="2" t="s">
        <v>144</v>
      </c>
      <c r="D12" s="200" t="s">
        <v>144</v>
      </c>
      <c r="E12" s="16" t="s">
        <v>1242</v>
      </c>
      <c r="F12" s="55"/>
      <c r="G12" s="95"/>
      <c r="H12" s="64" t="s">
        <v>2182</v>
      </c>
    </row>
    <row r="13" spans="1:10" ht="25" x14ac:dyDescent="0.3">
      <c r="A13" s="10" t="s">
        <v>293</v>
      </c>
      <c r="B13" s="200" t="s">
        <v>144</v>
      </c>
      <c r="C13" s="2" t="s">
        <v>144</v>
      </c>
      <c r="D13" s="200" t="s">
        <v>144</v>
      </c>
      <c r="E13" s="16" t="s">
        <v>1243</v>
      </c>
      <c r="F13" s="55"/>
      <c r="H13" s="64" t="s">
        <v>2182</v>
      </c>
    </row>
    <row r="14" spans="1:10" ht="90" customHeight="1" x14ac:dyDescent="0.3">
      <c r="A14" s="16" t="s">
        <v>2694</v>
      </c>
      <c r="B14" s="200" t="s">
        <v>144</v>
      </c>
      <c r="C14" s="2" t="s">
        <v>144</v>
      </c>
      <c r="D14" s="200" t="s">
        <v>144</v>
      </c>
      <c r="E14" s="16" t="s">
        <v>2411</v>
      </c>
      <c r="F14" s="55"/>
      <c r="H14" s="64"/>
    </row>
    <row r="15" spans="1:10" x14ac:dyDescent="0.3">
      <c r="A15" s="10" t="s">
        <v>302</v>
      </c>
      <c r="B15" s="200" t="s">
        <v>144</v>
      </c>
      <c r="C15" s="2" t="s">
        <v>144</v>
      </c>
      <c r="D15" s="200" t="s">
        <v>144</v>
      </c>
      <c r="E15" s="11"/>
      <c r="F15" s="55"/>
      <c r="H15" s="64" t="s">
        <v>2182</v>
      </c>
    </row>
    <row r="16" spans="1:10" ht="37.5" x14ac:dyDescent="0.3">
      <c r="A16" s="16" t="s">
        <v>294</v>
      </c>
      <c r="B16" s="200" t="s">
        <v>144</v>
      </c>
      <c r="C16" s="2" t="s">
        <v>144</v>
      </c>
      <c r="D16" s="200" t="s">
        <v>144</v>
      </c>
      <c r="E16" s="10" t="s">
        <v>295</v>
      </c>
      <c r="F16" s="55"/>
      <c r="H16" s="64" t="s">
        <v>2182</v>
      </c>
    </row>
    <row r="17" spans="1:8" ht="62.5" x14ac:dyDescent="0.3">
      <c r="A17" s="16" t="s">
        <v>2695</v>
      </c>
      <c r="B17" s="200" t="s">
        <v>144</v>
      </c>
      <c r="C17" s="2" t="s">
        <v>144</v>
      </c>
      <c r="D17" s="200" t="s">
        <v>144</v>
      </c>
      <c r="E17" s="128" t="s">
        <v>296</v>
      </c>
      <c r="F17" s="55"/>
      <c r="H17" s="64" t="s">
        <v>2182</v>
      </c>
    </row>
    <row r="18" spans="1:8" ht="75.5" x14ac:dyDescent="0.3">
      <c r="A18" s="16" t="s">
        <v>2915</v>
      </c>
      <c r="B18" s="200" t="s">
        <v>144</v>
      </c>
      <c r="C18" s="2" t="s">
        <v>144</v>
      </c>
      <c r="D18" s="200" t="s">
        <v>144</v>
      </c>
      <c r="E18" s="127" t="s">
        <v>2696</v>
      </c>
      <c r="F18" s="55"/>
      <c r="H18" s="64"/>
    </row>
    <row r="19" spans="1:8" ht="37.5" x14ac:dyDescent="0.3">
      <c r="A19" s="10" t="s">
        <v>297</v>
      </c>
      <c r="B19" s="200" t="s">
        <v>144</v>
      </c>
      <c r="C19" s="2" t="s">
        <v>144</v>
      </c>
      <c r="D19" s="200" t="s">
        <v>144</v>
      </c>
      <c r="E19" s="11"/>
      <c r="F19" s="55"/>
      <c r="H19" s="64" t="s">
        <v>2182</v>
      </c>
    </row>
    <row r="20" spans="1:8" x14ac:dyDescent="0.3">
      <c r="A20" s="10" t="s">
        <v>547</v>
      </c>
      <c r="B20" s="200" t="s">
        <v>646</v>
      </c>
      <c r="C20" s="2" t="s">
        <v>646</v>
      </c>
      <c r="D20" s="200" t="s">
        <v>646</v>
      </c>
      <c r="E20" s="11"/>
      <c r="F20" s="55"/>
      <c r="H20" s="64" t="s">
        <v>2182</v>
      </c>
    </row>
    <row r="21" spans="1:8" ht="15.75" customHeight="1" x14ac:dyDescent="0.3">
      <c r="A21" s="16" t="s">
        <v>1112</v>
      </c>
      <c r="B21" s="200" t="s">
        <v>646</v>
      </c>
      <c r="C21" s="2" t="s">
        <v>646</v>
      </c>
      <c r="D21" s="200" t="s">
        <v>646</v>
      </c>
      <c r="E21" s="10" t="s">
        <v>298</v>
      </c>
      <c r="F21" s="55"/>
      <c r="H21" s="64" t="s">
        <v>2182</v>
      </c>
    </row>
    <row r="22" spans="1:8" x14ac:dyDescent="0.3">
      <c r="A22" s="10" t="s">
        <v>544</v>
      </c>
      <c r="B22" s="200" t="s">
        <v>646</v>
      </c>
      <c r="C22" s="2" t="s">
        <v>646</v>
      </c>
      <c r="D22" s="200"/>
      <c r="E22" s="11"/>
      <c r="F22" s="55"/>
      <c r="H22" s="64" t="s">
        <v>2182</v>
      </c>
    </row>
    <row r="23" spans="1:8" x14ac:dyDescent="0.3">
      <c r="A23" s="79" t="s">
        <v>1244</v>
      </c>
      <c r="B23" s="200" t="s">
        <v>646</v>
      </c>
      <c r="C23" s="2" t="s">
        <v>646</v>
      </c>
      <c r="D23" s="200"/>
      <c r="E23" s="11" t="s">
        <v>2096</v>
      </c>
      <c r="F23" s="55"/>
      <c r="H23" s="64" t="s">
        <v>2182</v>
      </c>
    </row>
    <row r="24" spans="1:8" x14ac:dyDescent="0.3">
      <c r="A24" s="79" t="s">
        <v>1245</v>
      </c>
      <c r="B24" s="200" t="s">
        <v>646</v>
      </c>
      <c r="C24" s="2" t="s">
        <v>646</v>
      </c>
      <c r="D24" s="200"/>
      <c r="E24" s="11" t="s">
        <v>2096</v>
      </c>
      <c r="F24" s="55"/>
      <c r="H24" s="64" t="s">
        <v>2182</v>
      </c>
    </row>
    <row r="25" spans="1:8" x14ac:dyDescent="0.3">
      <c r="A25" s="79" t="s">
        <v>2097</v>
      </c>
      <c r="B25" s="200" t="s">
        <v>646</v>
      </c>
      <c r="C25" s="2" t="s">
        <v>646</v>
      </c>
      <c r="D25" s="200"/>
      <c r="E25" s="2" t="s">
        <v>298</v>
      </c>
      <c r="F25" s="55"/>
      <c r="H25" s="64" t="s">
        <v>2182</v>
      </c>
    </row>
    <row r="26" spans="1:8" x14ac:dyDescent="0.3">
      <c r="A26" s="10" t="s">
        <v>299</v>
      </c>
      <c r="B26" s="200" t="s">
        <v>646</v>
      </c>
      <c r="C26" s="2" t="s">
        <v>646</v>
      </c>
      <c r="D26" s="200"/>
      <c r="E26" s="11"/>
      <c r="F26" s="55"/>
      <c r="H26" s="64" t="s">
        <v>2182</v>
      </c>
    </row>
    <row r="27" spans="1:8" x14ac:dyDescent="0.3">
      <c r="A27" s="79" t="s">
        <v>1246</v>
      </c>
      <c r="B27" s="200" t="s">
        <v>646</v>
      </c>
      <c r="C27" s="2" t="s">
        <v>646</v>
      </c>
      <c r="D27" s="200"/>
      <c r="E27" s="11"/>
      <c r="F27" s="55"/>
      <c r="H27" s="64" t="s">
        <v>2182</v>
      </c>
    </row>
    <row r="28" spans="1:8" x14ac:dyDescent="0.3">
      <c r="A28" s="15" t="s">
        <v>160</v>
      </c>
      <c r="B28" s="200" t="s">
        <v>646</v>
      </c>
      <c r="C28" s="2" t="s">
        <v>646</v>
      </c>
      <c r="D28" s="200"/>
      <c r="E28" s="11"/>
      <c r="F28" s="55"/>
      <c r="H28" s="64" t="s">
        <v>2182</v>
      </c>
    </row>
    <row r="29" spans="1:8" ht="25" x14ac:dyDescent="0.3">
      <c r="A29" s="16" t="s">
        <v>2098</v>
      </c>
      <c r="B29" s="200" t="s">
        <v>646</v>
      </c>
      <c r="C29" s="2" t="s">
        <v>843</v>
      </c>
      <c r="D29" s="200"/>
      <c r="E29" s="10" t="s">
        <v>300</v>
      </c>
      <c r="F29" s="55"/>
      <c r="H29" s="64" t="s">
        <v>2182</v>
      </c>
    </row>
    <row r="30" spans="1:8" ht="25" x14ac:dyDescent="0.3">
      <c r="A30" s="10" t="s">
        <v>301</v>
      </c>
      <c r="B30" s="200" t="s">
        <v>144</v>
      </c>
      <c r="C30" s="2" t="s">
        <v>144</v>
      </c>
      <c r="D30" s="200" t="s">
        <v>144</v>
      </c>
      <c r="E30" s="11"/>
      <c r="F30" s="55"/>
      <c r="H30" s="64" t="s">
        <v>2182</v>
      </c>
    </row>
    <row r="31" spans="1:8" x14ac:dyDescent="0.3">
      <c r="A31" s="10" t="s">
        <v>599</v>
      </c>
      <c r="B31" s="200" t="s">
        <v>145</v>
      </c>
      <c r="C31" s="2" t="s">
        <v>145</v>
      </c>
      <c r="D31" s="200" t="s">
        <v>145</v>
      </c>
      <c r="E31" s="11"/>
      <c r="F31" s="55"/>
      <c r="H31" s="64" t="s">
        <v>2182</v>
      </c>
    </row>
    <row r="32" spans="1:8" x14ac:dyDescent="0.3">
      <c r="A32" s="16" t="s">
        <v>2231</v>
      </c>
      <c r="B32" s="200" t="s">
        <v>145</v>
      </c>
      <c r="C32" s="2" t="s">
        <v>145</v>
      </c>
      <c r="D32" s="200" t="s">
        <v>145</v>
      </c>
      <c r="E32" s="11"/>
      <c r="F32" s="55"/>
      <c r="H32" s="64" t="s">
        <v>2182</v>
      </c>
    </row>
    <row r="33" spans="1:10" ht="37.5" x14ac:dyDescent="0.3">
      <c r="A33" s="10" t="s">
        <v>656</v>
      </c>
      <c r="B33" s="200" t="s">
        <v>145</v>
      </c>
      <c r="C33" s="2" t="s">
        <v>145</v>
      </c>
      <c r="D33" s="200" t="s">
        <v>145</v>
      </c>
      <c r="E33" s="11"/>
      <c r="F33" s="55"/>
      <c r="H33" s="64" t="s">
        <v>2182</v>
      </c>
    </row>
    <row r="34" spans="1:10" ht="25" x14ac:dyDescent="0.3">
      <c r="A34" s="15" t="s">
        <v>657</v>
      </c>
      <c r="B34" s="200" t="s">
        <v>145</v>
      </c>
      <c r="C34" s="2" t="s">
        <v>145</v>
      </c>
      <c r="D34" s="200" t="s">
        <v>145</v>
      </c>
      <c r="E34" s="11"/>
      <c r="F34" s="55"/>
      <c r="H34" s="64" t="s">
        <v>2182</v>
      </c>
    </row>
    <row r="35" spans="1:10" ht="25" x14ac:dyDescent="0.3">
      <c r="A35" s="15" t="s">
        <v>658</v>
      </c>
      <c r="B35" s="200" t="s">
        <v>145</v>
      </c>
      <c r="C35" s="2" t="s">
        <v>145</v>
      </c>
      <c r="D35" s="200" t="s">
        <v>145</v>
      </c>
      <c r="E35" s="11"/>
      <c r="F35" s="55"/>
      <c r="H35" s="64" t="s">
        <v>2182</v>
      </c>
    </row>
    <row r="36" spans="1:10" ht="25" x14ac:dyDescent="0.3">
      <c r="A36" s="15" t="s">
        <v>659</v>
      </c>
      <c r="B36" s="200" t="s">
        <v>145</v>
      </c>
      <c r="C36" s="2" t="s">
        <v>145</v>
      </c>
      <c r="D36" s="200" t="s">
        <v>145</v>
      </c>
      <c r="E36" s="11"/>
      <c r="F36" s="55"/>
      <c r="H36" s="64" t="s">
        <v>2182</v>
      </c>
    </row>
    <row r="37" spans="1:10" ht="75" x14ac:dyDescent="0.3">
      <c r="A37" s="16" t="s">
        <v>1746</v>
      </c>
      <c r="B37" s="200" t="s">
        <v>145</v>
      </c>
      <c r="C37" s="2" t="s">
        <v>145</v>
      </c>
      <c r="D37" s="200" t="s">
        <v>145</v>
      </c>
      <c r="E37" s="11"/>
      <c r="F37" s="55"/>
      <c r="H37" s="64" t="s">
        <v>2182</v>
      </c>
    </row>
    <row r="38" spans="1:10" ht="50" x14ac:dyDescent="0.3">
      <c r="A38" s="16" t="s">
        <v>1857</v>
      </c>
      <c r="B38" s="200" t="s">
        <v>145</v>
      </c>
      <c r="C38" s="2" t="s">
        <v>145</v>
      </c>
      <c r="D38" s="200" t="s">
        <v>145</v>
      </c>
      <c r="E38" s="2" t="s">
        <v>1853</v>
      </c>
      <c r="F38" s="55"/>
      <c r="H38" s="64" t="s">
        <v>2182</v>
      </c>
    </row>
    <row r="39" spans="1:10" ht="25" x14ac:dyDescent="0.3">
      <c r="A39" s="10" t="s">
        <v>721</v>
      </c>
      <c r="B39" s="200" t="s">
        <v>145</v>
      </c>
      <c r="C39" s="2" t="s">
        <v>145</v>
      </c>
      <c r="D39" s="200" t="s">
        <v>145</v>
      </c>
      <c r="E39" s="11"/>
      <c r="F39" s="55"/>
      <c r="H39" s="64" t="s">
        <v>2182</v>
      </c>
    </row>
    <row r="40" spans="1:10" ht="37.5" x14ac:dyDescent="0.3">
      <c r="A40" s="10" t="s">
        <v>722</v>
      </c>
      <c r="B40" s="200" t="s">
        <v>145</v>
      </c>
      <c r="C40" s="2" t="s">
        <v>145</v>
      </c>
      <c r="D40" s="200" t="s">
        <v>145</v>
      </c>
      <c r="E40" s="11"/>
      <c r="F40" s="55"/>
      <c r="H40" s="64" t="s">
        <v>2182</v>
      </c>
    </row>
    <row r="41" spans="1:10" s="46" customFormat="1" ht="25" x14ac:dyDescent="0.3">
      <c r="A41" s="34" t="s">
        <v>15</v>
      </c>
      <c r="B41" s="200" t="s">
        <v>144</v>
      </c>
      <c r="C41" s="2" t="s">
        <v>144</v>
      </c>
      <c r="D41" s="200" t="s">
        <v>144</v>
      </c>
      <c r="E41" s="16" t="s">
        <v>2576</v>
      </c>
      <c r="F41" s="55"/>
      <c r="G41" s="60"/>
      <c r="H41" s="64" t="s">
        <v>2182</v>
      </c>
      <c r="I41" s="60"/>
      <c r="J41" s="60"/>
    </row>
    <row r="42" spans="1:10" x14ac:dyDescent="0.3">
      <c r="A42" s="10" t="s">
        <v>546</v>
      </c>
      <c r="B42" s="200" t="s">
        <v>144</v>
      </c>
      <c r="C42" s="2" t="s">
        <v>144</v>
      </c>
      <c r="D42" s="200" t="s">
        <v>144</v>
      </c>
      <c r="E42" s="11"/>
      <c r="F42" s="55"/>
      <c r="H42" s="64"/>
    </row>
    <row r="43" spans="1:10" ht="25" x14ac:dyDescent="0.3">
      <c r="A43" s="10" t="s">
        <v>281</v>
      </c>
      <c r="B43" s="200" t="s">
        <v>144</v>
      </c>
      <c r="C43" s="2" t="s">
        <v>144</v>
      </c>
      <c r="D43" s="200" t="s">
        <v>144</v>
      </c>
      <c r="E43" s="11"/>
      <c r="F43" s="55"/>
      <c r="H43" s="64" t="s">
        <v>2182</v>
      </c>
    </row>
    <row r="44" spans="1:10" x14ac:dyDescent="0.3">
      <c r="A44" s="10" t="s">
        <v>282</v>
      </c>
      <c r="B44" s="200" t="s">
        <v>144</v>
      </c>
      <c r="C44" s="2" t="s">
        <v>144</v>
      </c>
      <c r="D44" s="200" t="s">
        <v>144</v>
      </c>
      <c r="E44" s="11"/>
      <c r="F44" s="55"/>
      <c r="H44" s="64" t="s">
        <v>2182</v>
      </c>
    </row>
    <row r="45" spans="1:10" x14ac:dyDescent="0.3">
      <c r="A45" s="10" t="s">
        <v>161</v>
      </c>
      <c r="B45" s="200" t="s">
        <v>144</v>
      </c>
      <c r="C45" s="2" t="s">
        <v>144</v>
      </c>
      <c r="D45" s="200" t="s">
        <v>144</v>
      </c>
      <c r="E45" s="11"/>
      <c r="F45" s="55"/>
      <c r="H45" s="64" t="s">
        <v>2182</v>
      </c>
    </row>
    <row r="46" spans="1:10" x14ac:dyDescent="0.3">
      <c r="A46" s="10" t="s">
        <v>162</v>
      </c>
      <c r="B46" s="200" t="s">
        <v>144</v>
      </c>
      <c r="C46" s="2" t="s">
        <v>144</v>
      </c>
      <c r="D46" s="200" t="s">
        <v>144</v>
      </c>
      <c r="E46" s="11"/>
      <c r="F46" s="55"/>
      <c r="H46" s="64" t="s">
        <v>2182</v>
      </c>
    </row>
    <row r="47" spans="1:10" x14ac:dyDescent="0.3">
      <c r="A47" s="10" t="s">
        <v>163</v>
      </c>
      <c r="B47" s="200" t="s">
        <v>144</v>
      </c>
      <c r="C47" s="2" t="s">
        <v>144</v>
      </c>
      <c r="D47" s="200" t="s">
        <v>144</v>
      </c>
      <c r="E47" s="11"/>
      <c r="F47" s="55"/>
      <c r="H47" s="64" t="s">
        <v>2182</v>
      </c>
    </row>
    <row r="48" spans="1:10" ht="25" x14ac:dyDescent="0.3">
      <c r="A48" s="10" t="s">
        <v>456</v>
      </c>
      <c r="B48" s="200" t="s">
        <v>144</v>
      </c>
      <c r="C48" s="2" t="s">
        <v>144</v>
      </c>
      <c r="D48" s="200" t="s">
        <v>144</v>
      </c>
      <c r="E48" s="11"/>
      <c r="F48" s="55"/>
      <c r="H48" s="64" t="s">
        <v>2182</v>
      </c>
    </row>
    <row r="49" spans="1:8" x14ac:dyDescent="0.3">
      <c r="A49" s="10" t="s">
        <v>278</v>
      </c>
      <c r="B49" s="200" t="s">
        <v>144</v>
      </c>
      <c r="C49" s="2" t="s">
        <v>144</v>
      </c>
      <c r="D49" s="200" t="s">
        <v>144</v>
      </c>
      <c r="E49" s="11"/>
      <c r="F49" s="55"/>
      <c r="H49" s="64" t="s">
        <v>2182</v>
      </c>
    </row>
    <row r="50" spans="1:8" ht="24" customHeight="1" x14ac:dyDescent="0.3">
      <c r="A50" s="10" t="s">
        <v>285</v>
      </c>
      <c r="B50" s="200" t="s">
        <v>646</v>
      </c>
      <c r="C50" s="2" t="s">
        <v>646</v>
      </c>
      <c r="D50" s="200"/>
      <c r="E50" s="10" t="s">
        <v>425</v>
      </c>
      <c r="F50" s="55"/>
      <c r="H50" s="64" t="s">
        <v>2182</v>
      </c>
    </row>
    <row r="51" spans="1:8" ht="25" x14ac:dyDescent="0.3">
      <c r="A51" s="16" t="s">
        <v>2099</v>
      </c>
      <c r="B51" s="200" t="s">
        <v>144</v>
      </c>
      <c r="C51" s="2" t="s">
        <v>144</v>
      </c>
      <c r="D51" s="200" t="s">
        <v>144</v>
      </c>
      <c r="E51" s="11"/>
      <c r="F51" s="55"/>
      <c r="H51" s="64"/>
    </row>
    <row r="52" spans="1:8" x14ac:dyDescent="0.3">
      <c r="A52" s="10" t="s">
        <v>302</v>
      </c>
      <c r="B52" s="200" t="s">
        <v>144</v>
      </c>
      <c r="C52" s="2" t="s">
        <v>144</v>
      </c>
      <c r="D52" s="200" t="s">
        <v>144</v>
      </c>
      <c r="E52" s="11"/>
      <c r="F52" s="55"/>
      <c r="H52" s="64"/>
    </row>
    <row r="53" spans="1:8" ht="27.65" customHeight="1" x14ac:dyDescent="0.3">
      <c r="A53" s="16" t="s">
        <v>2916</v>
      </c>
      <c r="B53" s="200" t="s">
        <v>144</v>
      </c>
      <c r="C53" s="2" t="s">
        <v>144</v>
      </c>
      <c r="D53" s="200" t="s">
        <v>144</v>
      </c>
      <c r="E53" s="2" t="s">
        <v>1247</v>
      </c>
      <c r="F53" s="55"/>
      <c r="G53" s="60" t="s">
        <v>1856</v>
      </c>
      <c r="H53" s="64"/>
    </row>
    <row r="54" spans="1:8" ht="25" x14ac:dyDescent="0.3">
      <c r="A54" s="10" t="s">
        <v>279</v>
      </c>
      <c r="B54" s="200" t="s">
        <v>144</v>
      </c>
      <c r="C54" s="2" t="s">
        <v>144</v>
      </c>
      <c r="D54" s="200" t="s">
        <v>144</v>
      </c>
      <c r="E54" s="10" t="s">
        <v>280</v>
      </c>
      <c r="F54" s="55"/>
      <c r="H54" s="64"/>
    </row>
    <row r="55" spans="1:8" ht="37.5" x14ac:dyDescent="0.3">
      <c r="A55" s="10" t="s">
        <v>203</v>
      </c>
      <c r="B55" s="200" t="s">
        <v>144</v>
      </c>
      <c r="C55" s="2" t="s">
        <v>144</v>
      </c>
      <c r="D55" s="200" t="s">
        <v>144</v>
      </c>
      <c r="E55" s="10" t="s">
        <v>204</v>
      </c>
      <c r="F55" s="55"/>
      <c r="H55" s="64"/>
    </row>
    <row r="56" spans="1:8" ht="38" x14ac:dyDescent="0.3">
      <c r="A56" s="16" t="s">
        <v>2412</v>
      </c>
      <c r="B56" s="200" t="s">
        <v>144</v>
      </c>
      <c r="C56" s="2" t="s">
        <v>144</v>
      </c>
      <c r="D56" s="200" t="s">
        <v>144</v>
      </c>
      <c r="E56" s="10"/>
      <c r="F56" s="55"/>
      <c r="H56" s="64"/>
    </row>
    <row r="57" spans="1:8" ht="50" x14ac:dyDescent="0.3">
      <c r="A57" s="16" t="s">
        <v>1500</v>
      </c>
      <c r="B57" s="200" t="s">
        <v>646</v>
      </c>
      <c r="C57" s="2" t="s">
        <v>646</v>
      </c>
      <c r="D57" s="200" t="s">
        <v>646</v>
      </c>
      <c r="E57" s="16" t="s">
        <v>2577</v>
      </c>
      <c r="F57" s="55"/>
      <c r="H57" s="64"/>
    </row>
    <row r="58" spans="1:8" ht="25" x14ac:dyDescent="0.3">
      <c r="A58" s="16" t="s">
        <v>2100</v>
      </c>
      <c r="B58" s="200"/>
      <c r="C58" s="2"/>
      <c r="D58" s="200" t="s">
        <v>144</v>
      </c>
      <c r="E58" s="16"/>
      <c r="F58" s="55"/>
      <c r="G58" s="95"/>
      <c r="H58" s="64"/>
    </row>
    <row r="59" spans="1:8" ht="25" x14ac:dyDescent="0.3">
      <c r="A59" s="16" t="s">
        <v>1248</v>
      </c>
      <c r="B59" s="200" t="s">
        <v>646</v>
      </c>
      <c r="C59" s="2" t="s">
        <v>646</v>
      </c>
      <c r="D59" s="200" t="s">
        <v>646</v>
      </c>
      <c r="E59" s="16" t="s">
        <v>2801</v>
      </c>
      <c r="F59" s="55"/>
      <c r="H59" s="64" t="s">
        <v>2182</v>
      </c>
    </row>
    <row r="60" spans="1:8" x14ac:dyDescent="0.3">
      <c r="A60" s="10" t="s">
        <v>547</v>
      </c>
      <c r="B60" s="200" t="s">
        <v>646</v>
      </c>
      <c r="C60" s="2" t="s">
        <v>646</v>
      </c>
      <c r="D60" s="200" t="s">
        <v>646</v>
      </c>
      <c r="E60" s="11"/>
      <c r="F60" s="55"/>
      <c r="H60" s="64" t="s">
        <v>2182</v>
      </c>
    </row>
    <row r="61" spans="1:8" x14ac:dyDescent="0.3">
      <c r="A61" s="16" t="s">
        <v>1501</v>
      </c>
      <c r="B61" s="200" t="s">
        <v>646</v>
      </c>
      <c r="C61" s="2" t="s">
        <v>646</v>
      </c>
      <c r="D61" s="200" t="s">
        <v>843</v>
      </c>
      <c r="E61" s="10" t="s">
        <v>205</v>
      </c>
      <c r="F61" s="55"/>
      <c r="H61" s="64"/>
    </row>
    <row r="62" spans="1:8" x14ac:dyDescent="0.3">
      <c r="A62" s="35" t="s">
        <v>2176</v>
      </c>
      <c r="B62" s="200" t="s">
        <v>646</v>
      </c>
      <c r="C62" s="2" t="s">
        <v>646</v>
      </c>
      <c r="D62" s="200" t="s">
        <v>646</v>
      </c>
      <c r="E62" s="11"/>
      <c r="F62" s="55"/>
      <c r="H62" s="64"/>
    </row>
    <row r="63" spans="1:8" ht="37.5" x14ac:dyDescent="0.3">
      <c r="A63" s="16" t="s">
        <v>2101</v>
      </c>
      <c r="B63" s="200" t="s">
        <v>646</v>
      </c>
      <c r="C63" s="2" t="s">
        <v>646</v>
      </c>
      <c r="D63" s="200" t="s">
        <v>646</v>
      </c>
      <c r="E63" s="11"/>
      <c r="F63" s="55"/>
      <c r="H63" s="64"/>
    </row>
    <row r="64" spans="1:8" ht="25" x14ac:dyDescent="0.3">
      <c r="A64" s="16" t="s">
        <v>2102</v>
      </c>
      <c r="B64" s="200" t="s">
        <v>646</v>
      </c>
      <c r="C64" s="2" t="s">
        <v>646</v>
      </c>
      <c r="D64" s="200" t="s">
        <v>646</v>
      </c>
      <c r="E64" s="16" t="s">
        <v>2578</v>
      </c>
      <c r="F64" s="55"/>
      <c r="H64" s="64"/>
    </row>
    <row r="65" spans="1:8" ht="38" x14ac:dyDescent="0.3">
      <c r="A65" s="16" t="s">
        <v>2103</v>
      </c>
      <c r="B65" s="200" t="s">
        <v>646</v>
      </c>
      <c r="C65" s="2" t="s">
        <v>646</v>
      </c>
      <c r="D65" s="200" t="s">
        <v>646</v>
      </c>
      <c r="E65" s="16" t="s">
        <v>2612</v>
      </c>
      <c r="F65" s="55"/>
      <c r="H65" s="64"/>
    </row>
    <row r="66" spans="1:8" ht="38" x14ac:dyDescent="0.3">
      <c r="A66" s="16" t="s">
        <v>2190</v>
      </c>
      <c r="B66" s="200" t="s">
        <v>646</v>
      </c>
      <c r="C66" s="2" t="s">
        <v>646</v>
      </c>
      <c r="D66" s="200" t="s">
        <v>646</v>
      </c>
      <c r="E66" s="11" t="s">
        <v>1571</v>
      </c>
      <c r="F66" s="55"/>
      <c r="H66" s="64"/>
    </row>
    <row r="67" spans="1:8" ht="38" x14ac:dyDescent="0.3">
      <c r="A67" s="16" t="s">
        <v>2347</v>
      </c>
      <c r="B67" s="200" t="s">
        <v>646</v>
      </c>
      <c r="C67" s="2" t="s">
        <v>646</v>
      </c>
      <c r="D67" s="200" t="s">
        <v>646</v>
      </c>
      <c r="E67" s="11"/>
      <c r="F67" s="55"/>
      <c r="H67" s="64"/>
    </row>
    <row r="68" spans="1:8" x14ac:dyDescent="0.3">
      <c r="A68" s="35" t="s">
        <v>2177</v>
      </c>
      <c r="B68" s="200" t="s">
        <v>646</v>
      </c>
      <c r="C68" s="2" t="s">
        <v>646</v>
      </c>
      <c r="D68" s="200" t="s">
        <v>646</v>
      </c>
      <c r="E68" s="11"/>
      <c r="F68" s="55"/>
      <c r="H68" s="64" t="s">
        <v>2182</v>
      </c>
    </row>
    <row r="69" spans="1:8" ht="25" x14ac:dyDescent="0.3">
      <c r="A69" s="16" t="s">
        <v>2105</v>
      </c>
      <c r="B69" s="200"/>
      <c r="C69" s="2"/>
      <c r="D69" s="200" t="s">
        <v>646</v>
      </c>
      <c r="E69" s="11" t="s">
        <v>2106</v>
      </c>
      <c r="F69" s="55"/>
      <c r="H69" s="64" t="s">
        <v>2182</v>
      </c>
    </row>
    <row r="70" spans="1:8" ht="37.5" x14ac:dyDescent="0.3">
      <c r="A70" s="16" t="s">
        <v>2802</v>
      </c>
      <c r="B70" s="200" t="s">
        <v>427</v>
      </c>
      <c r="C70" s="2" t="s">
        <v>646</v>
      </c>
      <c r="D70" s="200"/>
      <c r="E70" s="11" t="s">
        <v>16</v>
      </c>
      <c r="F70" s="55"/>
      <c r="H70" s="64" t="s">
        <v>2182</v>
      </c>
    </row>
    <row r="71" spans="1:8" x14ac:dyDescent="0.3">
      <c r="A71" s="79" t="s">
        <v>1249</v>
      </c>
      <c r="B71" s="200" t="s">
        <v>427</v>
      </c>
      <c r="C71" s="2" t="s">
        <v>646</v>
      </c>
      <c r="D71" s="200"/>
      <c r="E71" s="11"/>
      <c r="F71" s="55"/>
      <c r="H71" s="64" t="s">
        <v>2182</v>
      </c>
    </row>
    <row r="72" spans="1:8" x14ac:dyDescent="0.3">
      <c r="A72" s="79" t="s">
        <v>1250</v>
      </c>
      <c r="B72" s="200" t="s">
        <v>427</v>
      </c>
      <c r="C72" s="2" t="s">
        <v>646</v>
      </c>
      <c r="D72" s="200"/>
      <c r="E72" s="11"/>
      <c r="F72" s="55"/>
      <c r="H72" s="64" t="s">
        <v>2182</v>
      </c>
    </row>
    <row r="73" spans="1:8" x14ac:dyDescent="0.3">
      <c r="A73" s="79" t="s">
        <v>1251</v>
      </c>
      <c r="B73" s="200" t="s">
        <v>427</v>
      </c>
      <c r="C73" s="2" t="s">
        <v>646</v>
      </c>
      <c r="D73" s="200"/>
      <c r="E73" s="11"/>
      <c r="F73" s="55"/>
      <c r="H73" s="64" t="s">
        <v>2182</v>
      </c>
    </row>
    <row r="74" spans="1:8" x14ac:dyDescent="0.3">
      <c r="A74" s="79" t="s">
        <v>1252</v>
      </c>
      <c r="B74" s="200" t="s">
        <v>427</v>
      </c>
      <c r="C74" s="2" t="s">
        <v>646</v>
      </c>
      <c r="D74" s="200"/>
      <c r="E74" s="11"/>
      <c r="F74" s="55"/>
      <c r="H74" s="64" t="s">
        <v>2182</v>
      </c>
    </row>
    <row r="75" spans="1:8" x14ac:dyDescent="0.3">
      <c r="A75" s="79" t="s">
        <v>1253</v>
      </c>
      <c r="B75" s="200" t="s">
        <v>427</v>
      </c>
      <c r="C75" s="2" t="s">
        <v>646</v>
      </c>
      <c r="D75" s="200"/>
      <c r="E75" s="11"/>
      <c r="F75" s="55"/>
      <c r="H75" s="64" t="s">
        <v>2182</v>
      </c>
    </row>
    <row r="76" spans="1:8" x14ac:dyDescent="0.3">
      <c r="A76" s="79" t="s">
        <v>1254</v>
      </c>
      <c r="B76" s="200" t="s">
        <v>427</v>
      </c>
      <c r="C76" s="2" t="s">
        <v>646</v>
      </c>
      <c r="D76" s="200"/>
      <c r="E76" s="11"/>
      <c r="F76" s="55"/>
      <c r="H76" s="64" t="s">
        <v>2182</v>
      </c>
    </row>
    <row r="77" spans="1:8" x14ac:dyDescent="0.3">
      <c r="A77" s="15" t="s">
        <v>171</v>
      </c>
      <c r="B77" s="200" t="s">
        <v>427</v>
      </c>
      <c r="C77" s="2" t="s">
        <v>646</v>
      </c>
      <c r="D77" s="200"/>
      <c r="E77" s="11"/>
      <c r="F77" s="55"/>
      <c r="H77" s="64" t="s">
        <v>2182</v>
      </c>
    </row>
    <row r="78" spans="1:8" x14ac:dyDescent="0.3">
      <c r="A78" s="10" t="s">
        <v>599</v>
      </c>
      <c r="B78" s="200" t="s">
        <v>145</v>
      </c>
      <c r="C78" s="2" t="s">
        <v>145</v>
      </c>
      <c r="D78" s="200" t="s">
        <v>145</v>
      </c>
      <c r="E78" s="11"/>
      <c r="F78" s="55"/>
      <c r="H78" s="64" t="s">
        <v>2182</v>
      </c>
    </row>
    <row r="79" spans="1:8" ht="37.5" x14ac:dyDescent="0.3">
      <c r="A79" s="22" t="s">
        <v>1255</v>
      </c>
      <c r="B79" s="200" t="s">
        <v>145</v>
      </c>
      <c r="C79" s="2" t="s">
        <v>145</v>
      </c>
      <c r="D79" s="200" t="s">
        <v>145</v>
      </c>
      <c r="E79" s="11"/>
      <c r="F79" s="55"/>
      <c r="H79" s="64" t="s">
        <v>2182</v>
      </c>
    </row>
    <row r="80" spans="1:8" ht="75" x14ac:dyDescent="0.3">
      <c r="A80" s="22" t="s">
        <v>1502</v>
      </c>
      <c r="B80" s="200" t="s">
        <v>145</v>
      </c>
      <c r="C80" s="2" t="s">
        <v>145</v>
      </c>
      <c r="D80" s="200" t="s">
        <v>145</v>
      </c>
      <c r="E80" s="11"/>
      <c r="F80" s="55"/>
      <c r="H80" s="64" t="s">
        <v>2182</v>
      </c>
    </row>
    <row r="81" spans="1:10" ht="50" x14ac:dyDescent="0.3">
      <c r="A81" s="22" t="s">
        <v>2413</v>
      </c>
      <c r="B81" s="200" t="s">
        <v>145</v>
      </c>
      <c r="C81" s="2" t="s">
        <v>145</v>
      </c>
      <c r="D81" s="200" t="s">
        <v>145</v>
      </c>
      <c r="E81" s="11"/>
      <c r="F81" s="55"/>
      <c r="H81" s="64"/>
    </row>
    <row r="82" spans="1:10" s="46" customFormat="1" x14ac:dyDescent="0.3">
      <c r="A82" s="34" t="s">
        <v>524</v>
      </c>
      <c r="B82" s="200" t="s">
        <v>144</v>
      </c>
      <c r="C82" s="2" t="s">
        <v>144</v>
      </c>
      <c r="D82" s="200" t="s">
        <v>144</v>
      </c>
      <c r="E82" s="36"/>
      <c r="F82" s="55"/>
      <c r="G82" s="60"/>
      <c r="H82" s="64" t="s">
        <v>2182</v>
      </c>
      <c r="I82" s="60"/>
      <c r="J82" s="60"/>
    </row>
    <row r="83" spans="1:10" x14ac:dyDescent="0.3">
      <c r="A83" s="10" t="s">
        <v>302</v>
      </c>
      <c r="B83" s="200" t="s">
        <v>144</v>
      </c>
      <c r="C83" s="2" t="s">
        <v>144</v>
      </c>
      <c r="D83" s="200" t="s">
        <v>144</v>
      </c>
      <c r="E83" s="11"/>
      <c r="F83" s="55"/>
      <c r="H83" s="64" t="s">
        <v>2182</v>
      </c>
    </row>
    <row r="84" spans="1:10" x14ac:dyDescent="0.3">
      <c r="A84" s="16" t="s">
        <v>999</v>
      </c>
      <c r="B84" s="200" t="s">
        <v>144</v>
      </c>
      <c r="C84" s="2" t="s">
        <v>144</v>
      </c>
      <c r="D84" s="200" t="s">
        <v>144</v>
      </c>
      <c r="E84" s="11"/>
      <c r="F84" s="55"/>
      <c r="H84" s="64" t="s">
        <v>2182</v>
      </c>
    </row>
    <row r="85" spans="1:10" x14ac:dyDescent="0.3">
      <c r="A85" s="10" t="s">
        <v>525</v>
      </c>
      <c r="B85" s="200" t="s">
        <v>144</v>
      </c>
      <c r="C85" s="2" t="s">
        <v>144</v>
      </c>
      <c r="D85" s="200" t="s">
        <v>144</v>
      </c>
      <c r="E85" s="11"/>
      <c r="F85" s="55"/>
      <c r="H85" s="64" t="s">
        <v>2182</v>
      </c>
    </row>
    <row r="86" spans="1:10" x14ac:dyDescent="0.3">
      <c r="A86" s="79" t="s">
        <v>1256</v>
      </c>
      <c r="B86" s="200" t="s">
        <v>144</v>
      </c>
      <c r="C86" s="2" t="s">
        <v>144</v>
      </c>
      <c r="D86" s="200" t="s">
        <v>144</v>
      </c>
      <c r="E86" s="10" t="s">
        <v>526</v>
      </c>
      <c r="F86" s="55"/>
      <c r="H86" s="64" t="s">
        <v>2182</v>
      </c>
    </row>
    <row r="87" spans="1:10" ht="25" x14ac:dyDescent="0.3">
      <c r="A87" s="10" t="s">
        <v>807</v>
      </c>
      <c r="B87" s="200" t="s">
        <v>144</v>
      </c>
      <c r="C87" s="2" t="s">
        <v>144</v>
      </c>
      <c r="D87" s="200" t="s">
        <v>144</v>
      </c>
      <c r="E87" s="11"/>
      <c r="F87" s="55"/>
      <c r="H87" s="64" t="s">
        <v>2182</v>
      </c>
    </row>
    <row r="88" spans="1:10" x14ac:dyDescent="0.3">
      <c r="A88" s="10" t="s">
        <v>599</v>
      </c>
      <c r="B88" s="200" t="s">
        <v>145</v>
      </c>
      <c r="C88" s="2" t="s">
        <v>145</v>
      </c>
      <c r="D88" s="200" t="s">
        <v>145</v>
      </c>
      <c r="E88" s="11"/>
      <c r="F88" s="55"/>
      <c r="H88" s="64" t="s">
        <v>2182</v>
      </c>
    </row>
    <row r="89" spans="1:10" ht="42" customHeight="1" x14ac:dyDescent="0.3">
      <c r="A89" s="16" t="s">
        <v>2697</v>
      </c>
      <c r="B89" s="200" t="s">
        <v>145</v>
      </c>
      <c r="C89" s="2" t="s">
        <v>145</v>
      </c>
      <c r="D89" s="200" t="s">
        <v>145</v>
      </c>
      <c r="E89" s="11"/>
      <c r="F89" s="55"/>
      <c r="G89" s="95"/>
      <c r="H89" s="64" t="s">
        <v>2182</v>
      </c>
    </row>
    <row r="90" spans="1:10" ht="62.5" x14ac:dyDescent="0.3">
      <c r="A90" s="16" t="s">
        <v>2698</v>
      </c>
      <c r="B90" s="200" t="s">
        <v>145</v>
      </c>
      <c r="C90" s="2" t="s">
        <v>145</v>
      </c>
      <c r="D90" s="200" t="s">
        <v>145</v>
      </c>
      <c r="E90" s="11"/>
      <c r="F90" s="55"/>
      <c r="G90" s="95"/>
      <c r="H90" s="64"/>
    </row>
    <row r="91" spans="1:10" s="46" customFormat="1" ht="25" x14ac:dyDescent="0.3">
      <c r="A91" s="34" t="s">
        <v>1257</v>
      </c>
      <c r="B91" s="200" t="s">
        <v>144</v>
      </c>
      <c r="C91" s="2" t="s">
        <v>144</v>
      </c>
      <c r="D91" s="200" t="s">
        <v>144</v>
      </c>
      <c r="E91" s="16" t="s">
        <v>2579</v>
      </c>
      <c r="F91" s="55"/>
      <c r="G91" s="60"/>
      <c r="H91" s="64" t="s">
        <v>2182</v>
      </c>
      <c r="I91" s="60"/>
      <c r="J91" s="60"/>
    </row>
    <row r="92" spans="1:10" s="46" customFormat="1" x14ac:dyDescent="0.3">
      <c r="A92" s="102" t="s">
        <v>286</v>
      </c>
      <c r="B92" s="200" t="s">
        <v>144</v>
      </c>
      <c r="C92" s="2" t="s">
        <v>144</v>
      </c>
      <c r="D92" s="200" t="s">
        <v>144</v>
      </c>
      <c r="E92" s="36"/>
      <c r="F92" s="55"/>
      <c r="G92" s="60"/>
      <c r="H92" s="64"/>
      <c r="I92" s="60"/>
      <c r="J92" s="60"/>
    </row>
    <row r="93" spans="1:10" x14ac:dyDescent="0.3">
      <c r="A93" s="10" t="s">
        <v>287</v>
      </c>
      <c r="B93" s="200" t="s">
        <v>144</v>
      </c>
      <c r="C93" s="2" t="s">
        <v>144</v>
      </c>
      <c r="D93" s="200" t="s">
        <v>144</v>
      </c>
      <c r="E93" s="11"/>
      <c r="F93" s="55"/>
      <c r="H93" s="64"/>
    </row>
    <row r="94" spans="1:10" x14ac:dyDescent="0.3">
      <c r="A94" s="16" t="s">
        <v>2613</v>
      </c>
      <c r="B94" s="200" t="s">
        <v>144</v>
      </c>
      <c r="C94" s="2" t="s">
        <v>144</v>
      </c>
      <c r="D94" s="200" t="s">
        <v>144</v>
      </c>
      <c r="E94" s="10" t="s">
        <v>581</v>
      </c>
      <c r="F94" s="55"/>
      <c r="H94" s="64"/>
    </row>
    <row r="95" spans="1:10" x14ac:dyDescent="0.3">
      <c r="A95" s="10" t="s">
        <v>582</v>
      </c>
      <c r="B95" s="200" t="s">
        <v>144</v>
      </c>
      <c r="C95" s="2" t="s">
        <v>144</v>
      </c>
      <c r="D95" s="200" t="s">
        <v>144</v>
      </c>
      <c r="E95" s="10" t="s">
        <v>583</v>
      </c>
      <c r="F95" s="55"/>
      <c r="H95" s="64"/>
    </row>
    <row r="96" spans="1:10" ht="25" x14ac:dyDescent="0.3">
      <c r="A96" s="10" t="s">
        <v>288</v>
      </c>
      <c r="B96" s="200" t="s">
        <v>144</v>
      </c>
      <c r="C96" s="2" t="s">
        <v>144</v>
      </c>
      <c r="D96" s="200" t="s">
        <v>144</v>
      </c>
      <c r="E96" s="11"/>
      <c r="F96" s="55"/>
      <c r="H96" s="64"/>
    </row>
    <row r="97" spans="1:10" x14ac:dyDescent="0.3">
      <c r="A97" s="10" t="s">
        <v>302</v>
      </c>
      <c r="B97" s="200" t="s">
        <v>144</v>
      </c>
      <c r="C97" s="2" t="s">
        <v>144</v>
      </c>
      <c r="D97" s="200" t="s">
        <v>144</v>
      </c>
      <c r="E97" s="11"/>
      <c r="F97" s="55"/>
      <c r="H97" s="64"/>
    </row>
    <row r="98" spans="1:10" ht="50" x14ac:dyDescent="0.3">
      <c r="A98" s="16" t="s">
        <v>2232</v>
      </c>
      <c r="B98" s="200" t="s">
        <v>144</v>
      </c>
      <c r="C98" s="2" t="s">
        <v>144</v>
      </c>
      <c r="D98" s="200" t="s">
        <v>144</v>
      </c>
      <c r="E98" s="16" t="s">
        <v>2233</v>
      </c>
      <c r="F98" s="55"/>
      <c r="H98" s="64"/>
    </row>
    <row r="99" spans="1:10" ht="37.5" x14ac:dyDescent="0.3">
      <c r="A99" s="16" t="s">
        <v>2234</v>
      </c>
      <c r="B99" s="200" t="s">
        <v>144</v>
      </c>
      <c r="C99" s="2" t="s">
        <v>144</v>
      </c>
      <c r="D99" s="200" t="s">
        <v>144</v>
      </c>
      <c r="E99" s="10" t="s">
        <v>584</v>
      </c>
      <c r="F99" s="55"/>
      <c r="H99" s="64"/>
    </row>
    <row r="100" spans="1:10" ht="25" x14ac:dyDescent="0.3">
      <c r="A100" s="16" t="s">
        <v>2235</v>
      </c>
      <c r="B100" s="200" t="s">
        <v>144</v>
      </c>
      <c r="C100" s="2" t="s">
        <v>144</v>
      </c>
      <c r="D100" s="200" t="s">
        <v>144</v>
      </c>
      <c r="E100" s="16" t="s">
        <v>2236</v>
      </c>
      <c r="F100" s="55"/>
      <c r="H100" s="64"/>
    </row>
    <row r="101" spans="1:10" x14ac:dyDescent="0.3">
      <c r="A101" s="146" t="s">
        <v>2308</v>
      </c>
      <c r="B101" s="200" t="s">
        <v>144</v>
      </c>
      <c r="C101" s="2" t="s">
        <v>144</v>
      </c>
      <c r="D101" s="200" t="s">
        <v>144</v>
      </c>
      <c r="E101" s="10"/>
      <c r="F101" s="55"/>
      <c r="H101" s="64"/>
    </row>
    <row r="102" spans="1:10" x14ac:dyDescent="0.3">
      <c r="A102" s="10" t="s">
        <v>547</v>
      </c>
      <c r="B102" s="200" t="s">
        <v>646</v>
      </c>
      <c r="C102" s="2" t="s">
        <v>646</v>
      </c>
      <c r="D102" s="200"/>
      <c r="E102" s="11"/>
      <c r="F102" s="55"/>
      <c r="H102" s="64"/>
    </row>
    <row r="103" spans="1:10" x14ac:dyDescent="0.3">
      <c r="A103" s="10" t="s">
        <v>567</v>
      </c>
      <c r="B103" s="200" t="s">
        <v>646</v>
      </c>
      <c r="C103" s="2" t="s">
        <v>646</v>
      </c>
      <c r="D103" s="200"/>
      <c r="E103" s="11"/>
      <c r="F103" s="55"/>
      <c r="H103" s="64"/>
    </row>
    <row r="104" spans="1:10" x14ac:dyDescent="0.3">
      <c r="A104" s="10" t="s">
        <v>568</v>
      </c>
      <c r="B104" s="200" t="s">
        <v>646</v>
      </c>
      <c r="C104" s="2" t="s">
        <v>646</v>
      </c>
      <c r="D104" s="200"/>
      <c r="E104" s="11"/>
      <c r="F104" s="55"/>
      <c r="H104" s="64"/>
    </row>
    <row r="105" spans="1:10" x14ac:dyDescent="0.3">
      <c r="A105" s="79" t="s">
        <v>1258</v>
      </c>
      <c r="B105" s="200" t="s">
        <v>646</v>
      </c>
      <c r="C105" s="2" t="s">
        <v>646</v>
      </c>
      <c r="D105" s="200"/>
      <c r="E105" s="16" t="s">
        <v>570</v>
      </c>
      <c r="F105" s="55"/>
      <c r="H105" s="64"/>
    </row>
    <row r="106" spans="1:10" x14ac:dyDescent="0.3">
      <c r="A106" s="15" t="s">
        <v>172</v>
      </c>
      <c r="B106" s="200" t="s">
        <v>646</v>
      </c>
      <c r="C106" s="2" t="s">
        <v>646</v>
      </c>
      <c r="D106" s="200"/>
      <c r="E106" s="11"/>
      <c r="F106" s="55"/>
      <c r="H106" s="64"/>
    </row>
    <row r="107" spans="1:10" x14ac:dyDescent="0.3">
      <c r="A107" s="10" t="s">
        <v>569</v>
      </c>
      <c r="B107" s="200" t="s">
        <v>646</v>
      </c>
      <c r="C107" s="2" t="s">
        <v>646</v>
      </c>
      <c r="D107" s="200"/>
      <c r="E107" s="10" t="s">
        <v>570</v>
      </c>
      <c r="F107" s="55"/>
      <c r="H107" s="64" t="s">
        <v>2182</v>
      </c>
    </row>
    <row r="108" spans="1:10" ht="25" x14ac:dyDescent="0.3">
      <c r="A108" s="10" t="s">
        <v>571</v>
      </c>
      <c r="B108" s="200" t="s">
        <v>646</v>
      </c>
      <c r="C108" s="2" t="s">
        <v>646</v>
      </c>
      <c r="D108" s="200"/>
      <c r="E108" s="10" t="s">
        <v>572</v>
      </c>
      <c r="F108" s="55"/>
      <c r="H108" s="64" t="s">
        <v>2182</v>
      </c>
    </row>
    <row r="109" spans="1:10" ht="25" x14ac:dyDescent="0.3">
      <c r="A109" s="10" t="s">
        <v>573</v>
      </c>
      <c r="B109" s="200" t="s">
        <v>646</v>
      </c>
      <c r="C109" s="2" t="s">
        <v>646</v>
      </c>
      <c r="D109" s="200"/>
      <c r="E109" s="10" t="s">
        <v>574</v>
      </c>
      <c r="F109" s="55"/>
      <c r="H109" s="64" t="s">
        <v>2182</v>
      </c>
    </row>
    <row r="110" spans="1:10" s="46" customFormat="1" x14ac:dyDescent="0.3">
      <c r="A110" s="34" t="s">
        <v>575</v>
      </c>
      <c r="B110" s="200" t="s">
        <v>144</v>
      </c>
      <c r="C110" s="2" t="s">
        <v>144</v>
      </c>
      <c r="D110" s="200" t="s">
        <v>144</v>
      </c>
      <c r="E110" s="36"/>
      <c r="F110" s="55"/>
      <c r="G110" s="60"/>
      <c r="H110" s="64" t="s">
        <v>2182</v>
      </c>
      <c r="I110" s="60"/>
      <c r="J110" s="60"/>
    </row>
    <row r="111" spans="1:10" x14ac:dyDescent="0.3">
      <c r="A111" s="10" t="s">
        <v>546</v>
      </c>
      <c r="B111" s="200" t="s">
        <v>144</v>
      </c>
      <c r="C111" s="2" t="s">
        <v>144</v>
      </c>
      <c r="D111" s="200" t="s">
        <v>144</v>
      </c>
      <c r="E111" s="11"/>
      <c r="F111" s="55"/>
      <c r="H111" s="64" t="s">
        <v>2182</v>
      </c>
    </row>
    <row r="112" spans="1:10" ht="25" x14ac:dyDescent="0.3">
      <c r="A112" s="10" t="s">
        <v>576</v>
      </c>
      <c r="B112" s="200" t="s">
        <v>144</v>
      </c>
      <c r="C112" s="2" t="s">
        <v>144</v>
      </c>
      <c r="D112" s="200" t="s">
        <v>144</v>
      </c>
      <c r="E112" s="11"/>
      <c r="F112" s="55"/>
      <c r="H112" s="64" t="s">
        <v>2182</v>
      </c>
    </row>
    <row r="113" spans="1:10" x14ac:dyDescent="0.3">
      <c r="A113" s="10" t="s">
        <v>863</v>
      </c>
      <c r="B113" s="200" t="s">
        <v>144</v>
      </c>
      <c r="C113" s="2" t="s">
        <v>144</v>
      </c>
      <c r="D113" s="200" t="s">
        <v>144</v>
      </c>
      <c r="E113" s="11"/>
      <c r="F113" s="55"/>
      <c r="H113" s="64" t="s">
        <v>2182</v>
      </c>
    </row>
    <row r="114" spans="1:10" ht="37.5" x14ac:dyDescent="0.3">
      <c r="A114" s="16" t="s">
        <v>2382</v>
      </c>
      <c r="B114" s="200" t="s">
        <v>144</v>
      </c>
      <c r="C114" s="2" t="s">
        <v>144</v>
      </c>
      <c r="D114" s="200" t="s">
        <v>144</v>
      </c>
      <c r="E114" s="2" t="s">
        <v>468</v>
      </c>
      <c r="F114" s="55"/>
      <c r="G114" s="95"/>
      <c r="H114" s="64" t="s">
        <v>2182</v>
      </c>
    </row>
    <row r="115" spans="1:10" ht="50" x14ac:dyDescent="0.3">
      <c r="A115" s="16" t="s">
        <v>2390</v>
      </c>
      <c r="B115" s="200" t="s">
        <v>144</v>
      </c>
      <c r="C115" s="2" t="s">
        <v>144</v>
      </c>
      <c r="D115" s="200" t="s">
        <v>144</v>
      </c>
      <c r="E115" s="2"/>
      <c r="F115" s="55"/>
      <c r="G115" s="95"/>
      <c r="H115" s="64"/>
    </row>
    <row r="116" spans="1:10" ht="25" x14ac:dyDescent="0.3">
      <c r="A116" s="10" t="s">
        <v>577</v>
      </c>
      <c r="B116" s="200" t="s">
        <v>646</v>
      </c>
      <c r="C116" s="2" t="s">
        <v>646</v>
      </c>
      <c r="D116" s="200"/>
      <c r="E116" s="11"/>
      <c r="F116" s="55"/>
      <c r="H116" s="64" t="s">
        <v>2182</v>
      </c>
    </row>
    <row r="117" spans="1:10" x14ac:dyDescent="0.3">
      <c r="A117" s="35" t="s">
        <v>2307</v>
      </c>
      <c r="B117" s="200" t="s">
        <v>144</v>
      </c>
      <c r="C117" s="2" t="s">
        <v>144</v>
      </c>
      <c r="D117" s="200" t="s">
        <v>144</v>
      </c>
      <c r="F117" s="55"/>
      <c r="H117" s="64"/>
    </row>
    <row r="118" spans="1:10" s="46" customFormat="1" ht="25" x14ac:dyDescent="0.3">
      <c r="A118" s="35" t="s">
        <v>578</v>
      </c>
      <c r="B118" s="200" t="s">
        <v>144</v>
      </c>
      <c r="C118" s="2" t="s">
        <v>144</v>
      </c>
      <c r="D118" s="200" t="s">
        <v>144</v>
      </c>
      <c r="E118" s="16" t="s">
        <v>2575</v>
      </c>
      <c r="F118" s="55"/>
      <c r="G118" s="18"/>
      <c r="H118" s="64" t="s">
        <v>2182</v>
      </c>
      <c r="I118" s="60"/>
      <c r="J118" s="60"/>
    </row>
    <row r="119" spans="1:10" x14ac:dyDescent="0.3">
      <c r="A119" s="10" t="s">
        <v>863</v>
      </c>
      <c r="B119" s="200" t="s">
        <v>144</v>
      </c>
      <c r="C119" s="2" t="s">
        <v>144</v>
      </c>
      <c r="D119" s="200" t="s">
        <v>144</v>
      </c>
      <c r="E119" s="11"/>
      <c r="F119" s="55"/>
      <c r="H119" s="64"/>
    </row>
    <row r="120" spans="1:10" ht="37.5" x14ac:dyDescent="0.3">
      <c r="A120" s="10" t="s">
        <v>579</v>
      </c>
      <c r="B120" s="200" t="s">
        <v>144</v>
      </c>
      <c r="C120" s="2" t="s">
        <v>144</v>
      </c>
      <c r="D120" s="200" t="s">
        <v>144</v>
      </c>
      <c r="E120" s="16" t="s">
        <v>2917</v>
      </c>
      <c r="F120" s="55"/>
      <c r="G120" s="60" t="s">
        <v>2329</v>
      </c>
      <c r="H120" s="64" t="s">
        <v>2182</v>
      </c>
    </row>
    <row r="121" spans="1:10" x14ac:dyDescent="0.3">
      <c r="A121" s="10" t="s">
        <v>302</v>
      </c>
      <c r="B121" s="200" t="s">
        <v>144</v>
      </c>
      <c r="C121" s="2" t="s">
        <v>144</v>
      </c>
      <c r="D121" s="200" t="s">
        <v>144</v>
      </c>
      <c r="E121" s="11"/>
      <c r="F121" s="55"/>
      <c r="H121" s="64" t="s">
        <v>2182</v>
      </c>
    </row>
    <row r="122" spans="1:10" ht="50" x14ac:dyDescent="0.3">
      <c r="A122" s="16" t="s">
        <v>1858</v>
      </c>
      <c r="B122" s="200" t="s">
        <v>144</v>
      </c>
      <c r="C122" s="2" t="s">
        <v>144</v>
      </c>
      <c r="D122" s="200" t="s">
        <v>144</v>
      </c>
      <c r="E122" s="10" t="s">
        <v>873</v>
      </c>
      <c r="F122" s="55"/>
      <c r="H122" s="64" t="s">
        <v>2182</v>
      </c>
    </row>
    <row r="123" spans="1:10" x14ac:dyDescent="0.3">
      <c r="A123" s="16" t="s">
        <v>2918</v>
      </c>
      <c r="B123" s="200" t="s">
        <v>144</v>
      </c>
      <c r="C123" s="2" t="s">
        <v>144</v>
      </c>
      <c r="D123" s="200" t="s">
        <v>144</v>
      </c>
      <c r="E123" s="10" t="s">
        <v>1259</v>
      </c>
      <c r="F123" s="55"/>
      <c r="G123" s="60" t="s">
        <v>993</v>
      </c>
      <c r="H123" s="64"/>
    </row>
    <row r="124" spans="1:10" ht="37.5" x14ac:dyDescent="0.3">
      <c r="A124" s="16" t="s">
        <v>1503</v>
      </c>
      <c r="B124" s="200" t="s">
        <v>144</v>
      </c>
      <c r="C124" s="2" t="s">
        <v>144</v>
      </c>
      <c r="D124" s="200" t="s">
        <v>144</v>
      </c>
      <c r="E124" s="16" t="s">
        <v>1506</v>
      </c>
      <c r="F124" s="55"/>
      <c r="G124" s="60" t="s">
        <v>2919</v>
      </c>
      <c r="H124" s="64" t="s">
        <v>2182</v>
      </c>
    </row>
    <row r="125" spans="1:10" ht="25" x14ac:dyDescent="0.3">
      <c r="A125" s="16" t="s">
        <v>1504</v>
      </c>
      <c r="B125" s="200" t="s">
        <v>144</v>
      </c>
      <c r="C125" s="2" t="s">
        <v>144</v>
      </c>
      <c r="D125" s="200" t="s">
        <v>144</v>
      </c>
      <c r="E125" s="16" t="s">
        <v>1506</v>
      </c>
      <c r="F125" s="55"/>
      <c r="H125" s="64" t="s">
        <v>2182</v>
      </c>
    </row>
    <row r="126" spans="1:10" ht="37.5" x14ac:dyDescent="0.3">
      <c r="A126" s="16" t="s">
        <v>1859</v>
      </c>
      <c r="B126" s="200" t="s">
        <v>144</v>
      </c>
      <c r="C126" s="2" t="s">
        <v>144</v>
      </c>
      <c r="D126" s="200" t="s">
        <v>144</v>
      </c>
      <c r="E126" s="16" t="s">
        <v>874</v>
      </c>
      <c r="F126" s="55"/>
      <c r="H126" s="64" t="s">
        <v>2182</v>
      </c>
    </row>
    <row r="127" spans="1:10" ht="25" x14ac:dyDescent="0.3">
      <c r="A127" s="16" t="s">
        <v>1505</v>
      </c>
      <c r="B127" s="200" t="s">
        <v>144</v>
      </c>
      <c r="C127" s="2" t="s">
        <v>144</v>
      </c>
      <c r="D127" s="200" t="s">
        <v>144</v>
      </c>
      <c r="E127" s="16" t="s">
        <v>1507</v>
      </c>
      <c r="F127" s="55"/>
      <c r="H127" s="64" t="s">
        <v>2182</v>
      </c>
    </row>
    <row r="128" spans="1:10" x14ac:dyDescent="0.3">
      <c r="A128" s="16" t="s">
        <v>2923</v>
      </c>
      <c r="B128" s="200" t="s">
        <v>144</v>
      </c>
      <c r="C128" s="2" t="s">
        <v>144</v>
      </c>
      <c r="D128" s="200" t="s">
        <v>144</v>
      </c>
      <c r="E128" s="16" t="s">
        <v>2920</v>
      </c>
      <c r="F128" s="55"/>
      <c r="G128" s="60" t="s">
        <v>993</v>
      </c>
      <c r="H128" s="64"/>
    </row>
    <row r="129" spans="1:10" ht="53.15" customHeight="1" x14ac:dyDescent="0.3">
      <c r="A129" s="16" t="s">
        <v>2921</v>
      </c>
      <c r="B129" s="200" t="s">
        <v>144</v>
      </c>
      <c r="C129" s="2" t="s">
        <v>144</v>
      </c>
      <c r="D129" s="200" t="s">
        <v>144</v>
      </c>
      <c r="E129" s="16" t="s">
        <v>2922</v>
      </c>
      <c r="F129" s="55"/>
      <c r="G129" s="60" t="s">
        <v>993</v>
      </c>
      <c r="H129" s="64"/>
    </row>
    <row r="130" spans="1:10" x14ac:dyDescent="0.3">
      <c r="A130" s="10" t="s">
        <v>599</v>
      </c>
      <c r="B130" s="200" t="s">
        <v>144</v>
      </c>
      <c r="C130" s="2" t="s">
        <v>144</v>
      </c>
      <c r="D130" s="200" t="s">
        <v>144</v>
      </c>
      <c r="E130" s="11"/>
      <c r="F130" s="55"/>
      <c r="H130" s="64" t="s">
        <v>2182</v>
      </c>
    </row>
    <row r="131" spans="1:10" ht="50" x14ac:dyDescent="0.3">
      <c r="A131" s="16" t="s">
        <v>2191</v>
      </c>
      <c r="B131" s="200" t="s">
        <v>144</v>
      </c>
      <c r="C131" s="2" t="s">
        <v>144</v>
      </c>
      <c r="D131" s="200" t="s">
        <v>144</v>
      </c>
      <c r="E131" s="11"/>
      <c r="F131" s="55"/>
      <c r="H131" s="64" t="s">
        <v>2182</v>
      </c>
    </row>
    <row r="132" spans="1:10" x14ac:dyDescent="0.3">
      <c r="A132" s="10" t="s">
        <v>547</v>
      </c>
      <c r="B132" s="200" t="s">
        <v>646</v>
      </c>
      <c r="C132" s="2" t="s">
        <v>646</v>
      </c>
      <c r="D132" s="200"/>
      <c r="E132" s="11"/>
      <c r="F132" s="55"/>
      <c r="H132" s="64" t="s">
        <v>2182</v>
      </c>
    </row>
    <row r="133" spans="1:10" ht="25" x14ac:dyDescent="0.3">
      <c r="A133" s="10" t="s">
        <v>875</v>
      </c>
      <c r="B133" s="200" t="s">
        <v>646</v>
      </c>
      <c r="C133" s="2" t="s">
        <v>646</v>
      </c>
      <c r="D133" s="200"/>
      <c r="E133" s="10" t="s">
        <v>876</v>
      </c>
      <c r="F133" s="55"/>
      <c r="H133" s="64" t="s">
        <v>2182</v>
      </c>
    </row>
    <row r="134" spans="1:10" ht="25" x14ac:dyDescent="0.3">
      <c r="A134" s="10" t="s">
        <v>877</v>
      </c>
      <c r="B134" s="200" t="s">
        <v>646</v>
      </c>
      <c r="C134" s="2" t="s">
        <v>646</v>
      </c>
      <c r="D134" s="200"/>
      <c r="E134" s="11"/>
      <c r="F134" s="55"/>
      <c r="H134" s="64" t="s">
        <v>2182</v>
      </c>
    </row>
    <row r="135" spans="1:10" s="46" customFormat="1" x14ac:dyDescent="0.3">
      <c r="A135" s="34" t="s">
        <v>878</v>
      </c>
      <c r="B135" s="200" t="s">
        <v>144</v>
      </c>
      <c r="C135" s="2" t="s">
        <v>144</v>
      </c>
      <c r="D135" s="200" t="s">
        <v>144</v>
      </c>
      <c r="E135" s="36"/>
      <c r="F135" s="55"/>
      <c r="G135" s="60"/>
      <c r="H135" s="64" t="s">
        <v>2182</v>
      </c>
      <c r="I135" s="60"/>
      <c r="J135" s="60"/>
    </row>
    <row r="136" spans="1:10" x14ac:dyDescent="0.3">
      <c r="A136" s="10" t="s">
        <v>76</v>
      </c>
      <c r="B136" s="200" t="s">
        <v>144</v>
      </c>
      <c r="C136" s="2" t="s">
        <v>144</v>
      </c>
      <c r="D136" s="200" t="s">
        <v>144</v>
      </c>
      <c r="E136" s="11"/>
      <c r="F136" s="55"/>
      <c r="H136" s="64" t="s">
        <v>2182</v>
      </c>
    </row>
    <row r="137" spans="1:10" ht="25" x14ac:dyDescent="0.3">
      <c r="A137" s="16" t="s">
        <v>2237</v>
      </c>
      <c r="B137" s="200" t="s">
        <v>144</v>
      </c>
      <c r="C137" s="2" t="s">
        <v>144</v>
      </c>
      <c r="D137" s="200" t="s">
        <v>144</v>
      </c>
      <c r="E137" s="10" t="s">
        <v>879</v>
      </c>
      <c r="F137" s="55"/>
      <c r="H137" s="64" t="s">
        <v>2182</v>
      </c>
    </row>
    <row r="138" spans="1:10" x14ac:dyDescent="0.3">
      <c r="A138" s="10" t="s">
        <v>880</v>
      </c>
      <c r="B138" s="200" t="s">
        <v>144</v>
      </c>
      <c r="C138" s="2" t="s">
        <v>144</v>
      </c>
      <c r="D138" s="200" t="s">
        <v>144</v>
      </c>
      <c r="E138" s="11"/>
      <c r="F138" s="55"/>
      <c r="H138" s="64" t="s">
        <v>2182</v>
      </c>
    </row>
    <row r="139" spans="1:10" ht="25" x14ac:dyDescent="0.3">
      <c r="A139" s="16" t="s">
        <v>2238</v>
      </c>
      <c r="B139" s="200" t="s">
        <v>144</v>
      </c>
      <c r="C139" s="2" t="s">
        <v>144</v>
      </c>
      <c r="D139" s="200" t="s">
        <v>144</v>
      </c>
      <c r="E139" s="11"/>
      <c r="F139" s="55"/>
      <c r="H139" s="64" t="s">
        <v>2182</v>
      </c>
    </row>
    <row r="140" spans="1:10" ht="25" x14ac:dyDescent="0.3">
      <c r="A140" s="16" t="s">
        <v>2239</v>
      </c>
      <c r="B140" s="200" t="s">
        <v>144</v>
      </c>
      <c r="C140" s="2" t="s">
        <v>144</v>
      </c>
      <c r="D140" s="200" t="s">
        <v>144</v>
      </c>
      <c r="E140" s="2" t="s">
        <v>879</v>
      </c>
      <c r="F140" s="55"/>
      <c r="H140" s="64"/>
    </row>
    <row r="141" spans="1:10" x14ac:dyDescent="0.3">
      <c r="A141" s="10" t="s">
        <v>599</v>
      </c>
      <c r="B141" s="200" t="s">
        <v>145</v>
      </c>
      <c r="C141" s="2" t="s">
        <v>145</v>
      </c>
      <c r="D141" s="200" t="s">
        <v>145</v>
      </c>
      <c r="E141" s="11"/>
      <c r="F141" s="55"/>
      <c r="H141" s="64" t="s">
        <v>2182</v>
      </c>
    </row>
    <row r="142" spans="1:10" ht="37.5" x14ac:dyDescent="0.3">
      <c r="A142" s="10" t="s">
        <v>117</v>
      </c>
      <c r="B142" s="200" t="s">
        <v>145</v>
      </c>
      <c r="C142" s="2" t="s">
        <v>145</v>
      </c>
      <c r="D142" s="200" t="s">
        <v>145</v>
      </c>
      <c r="E142" s="11"/>
      <c r="F142" s="55"/>
      <c r="H142" s="64" t="s">
        <v>2182</v>
      </c>
    </row>
    <row r="143" spans="1:10" s="46" customFormat="1" x14ac:dyDescent="0.3">
      <c r="A143" s="34" t="s">
        <v>118</v>
      </c>
      <c r="B143" s="200" t="s">
        <v>144</v>
      </c>
      <c r="C143" s="2" t="s">
        <v>144</v>
      </c>
      <c r="D143" s="200" t="s">
        <v>144</v>
      </c>
      <c r="E143" s="36"/>
      <c r="F143" s="55"/>
      <c r="G143" s="60"/>
      <c r="H143" s="64" t="s">
        <v>2182</v>
      </c>
      <c r="I143" s="60"/>
      <c r="J143" s="60"/>
    </row>
    <row r="144" spans="1:10" x14ac:dyDescent="0.3">
      <c r="A144" s="10" t="s">
        <v>863</v>
      </c>
      <c r="B144" s="200" t="s">
        <v>144</v>
      </c>
      <c r="C144" s="2" t="s">
        <v>144</v>
      </c>
      <c r="D144" s="200" t="s">
        <v>144</v>
      </c>
      <c r="E144" s="11"/>
      <c r="F144" s="55"/>
      <c r="H144" s="64" t="s">
        <v>2182</v>
      </c>
    </row>
    <row r="145" spans="1:10" ht="27" customHeight="1" x14ac:dyDescent="0.3">
      <c r="A145" s="10" t="s">
        <v>808</v>
      </c>
      <c r="B145" s="200" t="s">
        <v>144</v>
      </c>
      <c r="C145" s="2" t="s">
        <v>144</v>
      </c>
      <c r="D145" s="200" t="s">
        <v>144</v>
      </c>
      <c r="E145" s="16" t="s">
        <v>2636</v>
      </c>
      <c r="F145" s="55"/>
      <c r="H145" s="64" t="s">
        <v>2182</v>
      </c>
    </row>
    <row r="146" spans="1:10" x14ac:dyDescent="0.3">
      <c r="A146" s="16" t="s">
        <v>2350</v>
      </c>
      <c r="B146" s="200" t="s">
        <v>144</v>
      </c>
      <c r="C146" s="2" t="s">
        <v>144</v>
      </c>
      <c r="D146" s="200" t="s">
        <v>144</v>
      </c>
      <c r="E146" s="10" t="s">
        <v>833</v>
      </c>
      <c r="F146" s="55"/>
      <c r="H146" s="64" t="s">
        <v>2182</v>
      </c>
    </row>
    <row r="147" spans="1:10" x14ac:dyDescent="0.3">
      <c r="A147" s="79" t="s">
        <v>1260</v>
      </c>
      <c r="B147" s="200" t="s">
        <v>144</v>
      </c>
      <c r="C147" s="2" t="s">
        <v>144</v>
      </c>
      <c r="D147" s="200" t="s">
        <v>144</v>
      </c>
      <c r="E147" s="11"/>
      <c r="F147" s="55"/>
      <c r="H147" s="64" t="s">
        <v>2182</v>
      </c>
    </row>
    <row r="148" spans="1:10" x14ac:dyDescent="0.3">
      <c r="A148" s="15" t="s">
        <v>173</v>
      </c>
      <c r="B148" s="200" t="s">
        <v>144</v>
      </c>
      <c r="C148" s="2" t="s">
        <v>144</v>
      </c>
      <c r="D148" s="200" t="s">
        <v>144</v>
      </c>
      <c r="E148" s="11"/>
      <c r="F148" s="55"/>
      <c r="H148" s="64" t="s">
        <v>2182</v>
      </c>
    </row>
    <row r="149" spans="1:10" ht="50.5" x14ac:dyDescent="0.3">
      <c r="A149" s="160" t="s">
        <v>2699</v>
      </c>
      <c r="B149" s="200" t="s">
        <v>144</v>
      </c>
      <c r="C149" s="2" t="s">
        <v>144</v>
      </c>
      <c r="D149" s="200"/>
      <c r="E149" s="16" t="s">
        <v>2701</v>
      </c>
      <c r="F149" s="55"/>
      <c r="G149" s="95"/>
      <c r="H149" s="64" t="s">
        <v>2182</v>
      </c>
    </row>
    <row r="150" spans="1:10" ht="87.5" x14ac:dyDescent="0.3">
      <c r="A150" s="79" t="s">
        <v>2700</v>
      </c>
      <c r="B150" s="200" t="s">
        <v>144</v>
      </c>
      <c r="C150" s="2" t="s">
        <v>144</v>
      </c>
      <c r="D150" s="200"/>
      <c r="E150" s="2" t="s">
        <v>2702</v>
      </c>
      <c r="F150" s="55"/>
      <c r="H150" s="64"/>
    </row>
    <row r="151" spans="1:10" ht="38" x14ac:dyDescent="0.3">
      <c r="A151" s="16" t="s">
        <v>2924</v>
      </c>
      <c r="B151" s="200" t="s">
        <v>144</v>
      </c>
      <c r="C151" s="2" t="s">
        <v>144</v>
      </c>
      <c r="D151" s="200"/>
      <c r="E151" s="11"/>
      <c r="F151" s="55"/>
      <c r="H151" s="64"/>
    </row>
    <row r="152" spans="1:10" x14ac:dyDescent="0.3">
      <c r="A152" s="79" t="s">
        <v>2703</v>
      </c>
      <c r="B152" s="200" t="s">
        <v>144</v>
      </c>
      <c r="C152" s="2" t="s">
        <v>144</v>
      </c>
      <c r="D152" s="200"/>
      <c r="E152" s="11"/>
      <c r="F152" s="55"/>
      <c r="H152" s="64"/>
    </row>
    <row r="153" spans="1:10" x14ac:dyDescent="0.3">
      <c r="A153" s="79" t="s">
        <v>2704</v>
      </c>
      <c r="B153" s="200" t="s">
        <v>144</v>
      </c>
      <c r="C153" s="2" t="s">
        <v>144</v>
      </c>
      <c r="D153" s="200"/>
      <c r="E153" s="11"/>
      <c r="F153" s="55"/>
      <c r="H153" s="64"/>
    </row>
    <row r="154" spans="1:10" x14ac:dyDescent="0.3">
      <c r="A154" s="79" t="s">
        <v>2705</v>
      </c>
      <c r="B154" s="200" t="s">
        <v>144</v>
      </c>
      <c r="C154" s="2" t="s">
        <v>144</v>
      </c>
      <c r="D154" s="200"/>
      <c r="E154" s="2"/>
      <c r="F154" s="55"/>
      <c r="H154" s="64"/>
    </row>
    <row r="155" spans="1:10" ht="27.65" customHeight="1" x14ac:dyDescent="0.3">
      <c r="A155" s="79" t="s">
        <v>2925</v>
      </c>
      <c r="B155" s="200" t="s">
        <v>144</v>
      </c>
      <c r="C155" s="2" t="s">
        <v>144</v>
      </c>
      <c r="D155" s="200"/>
      <c r="E155" s="2" t="s">
        <v>2653</v>
      </c>
      <c r="F155" s="55"/>
      <c r="G155" s="60" t="s">
        <v>2859</v>
      </c>
      <c r="H155" s="64"/>
    </row>
    <row r="156" spans="1:10" x14ac:dyDescent="0.3">
      <c r="A156" s="10" t="s">
        <v>880</v>
      </c>
      <c r="B156" s="200" t="s">
        <v>144</v>
      </c>
      <c r="C156" s="2" t="s">
        <v>144</v>
      </c>
      <c r="D156" s="200" t="s">
        <v>144</v>
      </c>
      <c r="E156" s="11"/>
      <c r="F156" s="55"/>
      <c r="H156" s="64"/>
    </row>
    <row r="157" spans="1:10" ht="37.5" x14ac:dyDescent="0.3">
      <c r="A157" s="16" t="s">
        <v>809</v>
      </c>
      <c r="B157" s="200" t="s">
        <v>144</v>
      </c>
      <c r="C157" s="2" t="s">
        <v>144</v>
      </c>
      <c r="D157" s="200" t="s">
        <v>144</v>
      </c>
      <c r="E157" s="10" t="s">
        <v>676</v>
      </c>
      <c r="F157" s="55"/>
      <c r="H157" s="64" t="s">
        <v>2182</v>
      </c>
    </row>
    <row r="158" spans="1:10" x14ac:dyDescent="0.3">
      <c r="A158" s="10" t="s">
        <v>599</v>
      </c>
      <c r="B158" s="200" t="s">
        <v>145</v>
      </c>
      <c r="C158" s="2" t="s">
        <v>145</v>
      </c>
      <c r="D158" s="200" t="s">
        <v>145</v>
      </c>
      <c r="E158" s="11"/>
      <c r="F158" s="55"/>
      <c r="H158" s="64" t="s">
        <v>2182</v>
      </c>
    </row>
    <row r="159" spans="1:10" ht="37.5" x14ac:dyDescent="0.3">
      <c r="A159" s="16" t="s">
        <v>1747</v>
      </c>
      <c r="B159" s="200" t="s">
        <v>145</v>
      </c>
      <c r="C159" s="2" t="s">
        <v>145</v>
      </c>
      <c r="D159" s="200" t="s">
        <v>145</v>
      </c>
      <c r="E159" s="11"/>
      <c r="F159" s="55"/>
      <c r="H159" s="64" t="s">
        <v>2182</v>
      </c>
    </row>
    <row r="160" spans="1:10" s="46" customFormat="1" x14ac:dyDescent="0.3">
      <c r="A160" s="34" t="s">
        <v>677</v>
      </c>
      <c r="B160" s="200" t="s">
        <v>144</v>
      </c>
      <c r="C160" s="2" t="s">
        <v>144</v>
      </c>
      <c r="D160" s="200" t="s">
        <v>144</v>
      </c>
      <c r="E160" s="36"/>
      <c r="F160" s="55"/>
      <c r="G160" s="60"/>
      <c r="H160" s="64" t="s">
        <v>2182</v>
      </c>
      <c r="I160" s="60"/>
      <c r="J160" s="60"/>
    </row>
    <row r="161" spans="1:10" x14ac:dyDescent="0.3">
      <c r="A161" s="10" t="s">
        <v>863</v>
      </c>
      <c r="B161" s="200" t="s">
        <v>144</v>
      </c>
      <c r="C161" s="2" t="s">
        <v>144</v>
      </c>
      <c r="D161" s="200" t="s">
        <v>144</v>
      </c>
      <c r="E161" s="11"/>
      <c r="F161" s="55"/>
      <c r="H161" s="64" t="s">
        <v>2182</v>
      </c>
    </row>
    <row r="162" spans="1:10" ht="25" x14ac:dyDescent="0.3">
      <c r="A162" s="10" t="s">
        <v>678</v>
      </c>
      <c r="B162" s="200" t="s">
        <v>144</v>
      </c>
      <c r="C162" s="2" t="s">
        <v>144</v>
      </c>
      <c r="D162" s="200" t="s">
        <v>144</v>
      </c>
      <c r="E162" s="10" t="s">
        <v>679</v>
      </c>
      <c r="F162" s="55"/>
      <c r="H162" s="64" t="s">
        <v>2182</v>
      </c>
    </row>
    <row r="163" spans="1:10" x14ac:dyDescent="0.3">
      <c r="A163" s="10" t="s">
        <v>302</v>
      </c>
      <c r="B163" s="200" t="s">
        <v>144</v>
      </c>
      <c r="C163" s="2" t="s">
        <v>144</v>
      </c>
      <c r="D163" s="200" t="s">
        <v>144</v>
      </c>
      <c r="E163" s="11"/>
      <c r="F163" s="55"/>
      <c r="H163" s="64" t="s">
        <v>2182</v>
      </c>
    </row>
    <row r="164" spans="1:10" ht="37.5" x14ac:dyDescent="0.3">
      <c r="A164" s="10" t="s">
        <v>680</v>
      </c>
      <c r="B164" s="200" t="s">
        <v>144</v>
      </c>
      <c r="C164" s="2" t="s">
        <v>144</v>
      </c>
      <c r="D164" s="200" t="s">
        <v>144</v>
      </c>
      <c r="E164" s="11"/>
      <c r="F164" s="55"/>
      <c r="H164" s="64" t="s">
        <v>2182</v>
      </c>
    </row>
    <row r="165" spans="1:10" x14ac:dyDescent="0.3">
      <c r="A165" s="10" t="s">
        <v>599</v>
      </c>
      <c r="B165" s="200" t="s">
        <v>145</v>
      </c>
      <c r="C165" s="2" t="s">
        <v>145</v>
      </c>
      <c r="D165" s="200" t="s">
        <v>145</v>
      </c>
      <c r="E165" s="11"/>
      <c r="F165" s="55"/>
      <c r="H165" s="64" t="s">
        <v>2182</v>
      </c>
    </row>
    <row r="166" spans="1:10" ht="37.5" x14ac:dyDescent="0.3">
      <c r="A166" s="16" t="s">
        <v>1748</v>
      </c>
      <c r="B166" s="200" t="s">
        <v>145</v>
      </c>
      <c r="C166" s="2" t="s">
        <v>145</v>
      </c>
      <c r="D166" s="200" t="s">
        <v>145</v>
      </c>
      <c r="E166" s="11"/>
      <c r="F166" s="55"/>
      <c r="H166" s="64" t="s">
        <v>2182</v>
      </c>
    </row>
    <row r="167" spans="1:10" ht="25" x14ac:dyDescent="0.3">
      <c r="A167" s="16" t="s">
        <v>1000</v>
      </c>
      <c r="B167" s="200" t="s">
        <v>145</v>
      </c>
      <c r="C167" s="2" t="s">
        <v>145</v>
      </c>
      <c r="D167" s="200" t="s">
        <v>145</v>
      </c>
      <c r="E167" s="11"/>
      <c r="F167" s="55"/>
      <c r="H167" s="64" t="s">
        <v>2182</v>
      </c>
    </row>
    <row r="168" spans="1:10" s="46" customFormat="1" x14ac:dyDescent="0.3">
      <c r="A168" s="34" t="s">
        <v>681</v>
      </c>
      <c r="B168" s="200" t="s">
        <v>144</v>
      </c>
      <c r="C168" s="2" t="s">
        <v>144</v>
      </c>
      <c r="D168" s="200" t="s">
        <v>144</v>
      </c>
      <c r="E168" s="36"/>
      <c r="F168" s="55"/>
      <c r="G168" s="60"/>
      <c r="H168" s="64" t="s">
        <v>2182</v>
      </c>
      <c r="I168" s="60"/>
      <c r="J168" s="60"/>
    </row>
    <row r="169" spans="1:10" x14ac:dyDescent="0.3">
      <c r="A169" s="10" t="s">
        <v>863</v>
      </c>
      <c r="B169" s="200" t="s">
        <v>144</v>
      </c>
      <c r="C169" s="2" t="s">
        <v>144</v>
      </c>
      <c r="D169" s="200" t="s">
        <v>144</v>
      </c>
      <c r="E169" s="11"/>
      <c r="F169" s="55"/>
      <c r="H169" s="64" t="s">
        <v>2182</v>
      </c>
    </row>
    <row r="170" spans="1:10" x14ac:dyDescent="0.3">
      <c r="A170" s="10" t="s">
        <v>682</v>
      </c>
      <c r="B170" s="200" t="s">
        <v>144</v>
      </c>
      <c r="C170" s="2" t="s">
        <v>144</v>
      </c>
      <c r="D170" s="200" t="s">
        <v>144</v>
      </c>
      <c r="E170" s="10" t="s">
        <v>683</v>
      </c>
      <c r="F170" s="55"/>
      <c r="H170" s="64" t="s">
        <v>2182</v>
      </c>
    </row>
    <row r="171" spans="1:10" x14ac:dyDescent="0.3">
      <c r="A171" s="79" t="s">
        <v>1261</v>
      </c>
      <c r="B171" s="200" t="s">
        <v>144</v>
      </c>
      <c r="C171" s="2" t="s">
        <v>144</v>
      </c>
      <c r="D171" s="200" t="s">
        <v>144</v>
      </c>
      <c r="E171" s="11"/>
      <c r="F171" s="55"/>
      <c r="H171" s="64" t="s">
        <v>2182</v>
      </c>
    </row>
    <row r="172" spans="1:10" ht="25" x14ac:dyDescent="0.3">
      <c r="A172" s="15" t="s">
        <v>174</v>
      </c>
      <c r="B172" s="200" t="s">
        <v>144</v>
      </c>
      <c r="C172" s="2" t="s">
        <v>144</v>
      </c>
      <c r="D172" s="200" t="s">
        <v>144</v>
      </c>
      <c r="E172" s="11"/>
      <c r="F172" s="55"/>
      <c r="H172" s="64" t="s">
        <v>2182</v>
      </c>
    </row>
    <row r="173" spans="1:10" ht="25.5" x14ac:dyDescent="0.3">
      <c r="A173" s="79" t="s">
        <v>2804</v>
      </c>
      <c r="B173" s="200" t="s">
        <v>144</v>
      </c>
      <c r="C173" s="2" t="s">
        <v>144</v>
      </c>
      <c r="D173" s="200" t="s">
        <v>144</v>
      </c>
      <c r="E173" s="16" t="s">
        <v>2803</v>
      </c>
      <c r="F173" s="55"/>
      <c r="H173" s="64"/>
    </row>
    <row r="174" spans="1:10" s="46" customFormat="1" x14ac:dyDescent="0.3">
      <c r="A174" s="34" t="s">
        <v>684</v>
      </c>
      <c r="B174" s="200" t="s">
        <v>144</v>
      </c>
      <c r="C174" s="2" t="s">
        <v>144</v>
      </c>
      <c r="D174" s="200" t="s">
        <v>144</v>
      </c>
      <c r="E174" s="36"/>
      <c r="F174" s="55"/>
      <c r="G174" s="60"/>
      <c r="H174" s="64" t="s">
        <v>2182</v>
      </c>
      <c r="I174" s="60"/>
      <c r="J174" s="60"/>
    </row>
    <row r="175" spans="1:10" ht="25" x14ac:dyDescent="0.3">
      <c r="A175" s="10" t="s">
        <v>685</v>
      </c>
      <c r="B175" s="200" t="s">
        <v>144</v>
      </c>
      <c r="C175" s="2" t="s">
        <v>144</v>
      </c>
      <c r="D175" s="200" t="s">
        <v>144</v>
      </c>
      <c r="E175" s="10" t="s">
        <v>686</v>
      </c>
      <c r="F175" s="55"/>
      <c r="H175" s="64" t="s">
        <v>2182</v>
      </c>
    </row>
    <row r="176" spans="1:10" ht="25" x14ac:dyDescent="0.3">
      <c r="A176" s="10" t="s">
        <v>687</v>
      </c>
      <c r="B176" s="200" t="s">
        <v>144</v>
      </c>
      <c r="C176" s="2" t="s">
        <v>144</v>
      </c>
      <c r="D176" s="200" t="s">
        <v>144</v>
      </c>
      <c r="E176" s="11"/>
      <c r="F176" s="55"/>
      <c r="H176" s="64" t="s">
        <v>2182</v>
      </c>
    </row>
    <row r="177" spans="1:10" s="46" customFormat="1" x14ac:dyDescent="0.3">
      <c r="A177" s="34" t="s">
        <v>688</v>
      </c>
      <c r="B177" s="200" t="s">
        <v>144</v>
      </c>
      <c r="C177" s="2" t="s">
        <v>144</v>
      </c>
      <c r="D177" s="200" t="s">
        <v>144</v>
      </c>
      <c r="E177" s="36"/>
      <c r="F177" s="55"/>
      <c r="G177" s="60"/>
      <c r="H177" s="64" t="s">
        <v>2182</v>
      </c>
      <c r="I177" s="60"/>
      <c r="J177" s="60"/>
    </row>
    <row r="178" spans="1:10" x14ac:dyDescent="0.3">
      <c r="A178" s="10" t="s">
        <v>863</v>
      </c>
      <c r="B178" s="200" t="s">
        <v>144</v>
      </c>
      <c r="C178" s="2" t="s">
        <v>144</v>
      </c>
      <c r="D178" s="200" t="s">
        <v>144</v>
      </c>
      <c r="E178" s="10" t="s">
        <v>689</v>
      </c>
      <c r="F178" s="55"/>
      <c r="H178" s="64" t="s">
        <v>2182</v>
      </c>
    </row>
    <row r="179" spans="1:10" ht="37.5" x14ac:dyDescent="0.3">
      <c r="A179" s="10" t="s">
        <v>690</v>
      </c>
      <c r="B179" s="200" t="s">
        <v>144</v>
      </c>
      <c r="C179" s="2" t="s">
        <v>144</v>
      </c>
      <c r="D179" s="200" t="s">
        <v>144</v>
      </c>
      <c r="E179" s="10" t="s">
        <v>689</v>
      </c>
      <c r="F179" s="55"/>
      <c r="H179" s="64" t="s">
        <v>2182</v>
      </c>
    </row>
    <row r="180" spans="1:10" x14ac:dyDescent="0.3">
      <c r="A180" s="10" t="s">
        <v>599</v>
      </c>
      <c r="B180" s="200" t="s">
        <v>145</v>
      </c>
      <c r="C180" s="2" t="s">
        <v>145</v>
      </c>
      <c r="D180" s="200" t="s">
        <v>145</v>
      </c>
      <c r="E180" s="11"/>
      <c r="F180" s="55"/>
      <c r="H180" s="64" t="s">
        <v>2182</v>
      </c>
    </row>
    <row r="181" spans="1:10" ht="25" x14ac:dyDescent="0.3">
      <c r="A181" s="98" t="s">
        <v>691</v>
      </c>
      <c r="B181" s="222" t="s">
        <v>145</v>
      </c>
      <c r="C181" s="93" t="s">
        <v>145</v>
      </c>
      <c r="D181" s="222" t="s">
        <v>145</v>
      </c>
      <c r="E181" s="78"/>
      <c r="F181" s="55"/>
      <c r="H181" s="64" t="s">
        <v>2182</v>
      </c>
    </row>
    <row r="182" spans="1:10" x14ac:dyDescent="0.3">
      <c r="A182" s="103" t="s">
        <v>1262</v>
      </c>
      <c r="B182" s="200" t="s">
        <v>144</v>
      </c>
      <c r="C182" s="2" t="s">
        <v>144</v>
      </c>
      <c r="D182" s="200" t="s">
        <v>144</v>
      </c>
      <c r="E182" s="78"/>
      <c r="F182" s="55"/>
      <c r="H182" s="64" t="s">
        <v>2182</v>
      </c>
    </row>
    <row r="183" spans="1:10" ht="50" x14ac:dyDescent="0.3">
      <c r="A183" s="17" t="s">
        <v>1508</v>
      </c>
      <c r="B183" s="200" t="s">
        <v>144</v>
      </c>
      <c r="C183" s="2" t="s">
        <v>144</v>
      </c>
      <c r="D183" s="200" t="s">
        <v>144</v>
      </c>
      <c r="E183" s="4" t="s">
        <v>1509</v>
      </c>
      <c r="F183" s="55"/>
      <c r="G183" s="95"/>
      <c r="H183" s="64" t="s">
        <v>2182</v>
      </c>
    </row>
  </sheetData>
  <sheetProtection algorithmName="SHA-512" hashValue="b8JEplT/+hJqz0866ToxmEa5Q66WyMQndVhntkgTsRWpBtJUnDupJ2qVmQ/YF6RoejWJ8KbYRSMOi6raAmbl6w==" saltValue="KcGUbBpavDwicPTh0/j6DA==" spinCount="100000" sheet="1" objects="1" scenarios="1" autoFilter="0"/>
  <autoFilter ref="B5:G183" xr:uid="{00000000-0009-0000-0000-00000D000000}"/>
  <customSheetViews>
    <customSheetView guid="{33D191C9-AE75-45EC-B301-B583C3381734}" showGridLines="0" fitToPage="1" printArea="1" showAutoFilter="1">
      <pane ySplit="5" topLeftCell="A153" activePane="bottomLeft" state="frozen"/>
      <selection pane="bottomLeft"/>
      <pageMargins left="0.75" right="0.75" top="1" bottom="1" header="0.5" footer="0.5"/>
      <pageSetup paperSize="9" scale="74" fitToHeight="100" orientation="landscape" r:id="rId1"/>
      <headerFooter alignWithMargins="0"/>
      <autoFilter ref="B1:G1" xr:uid="{B675D0B9-5DDA-4533-90FF-1BFD63473724}"/>
    </customSheetView>
  </customSheetViews>
  <mergeCells count="1">
    <mergeCell ref="B4:F4"/>
  </mergeCells>
  <phoneticPr fontId="2" type="noConversion"/>
  <dataValidations count="1">
    <dataValidation type="list" allowBlank="1" showInputMessage="1" showErrorMessage="1" sqref="F7:F183" xr:uid="{00000000-0002-0000-0D00-000000000000}">
      <formula1>"Akkoord,Opmerking,N.v.t.,,"</formula1>
    </dataValidation>
  </dataValidations>
  <hyperlinks>
    <hyperlink ref="A41" location="Voorzieningen!A39" display="Pensioenvoorzieningen (vanaf 2009)" xr:uid="{00000000-0004-0000-0D00-000000000000}"/>
    <hyperlink ref="A7" location="Voorzieningen!A4" display="ALGEMEEN" xr:uid="{00000000-0004-0000-0D00-000001000000}"/>
    <hyperlink ref="A82" location="Voorzieningen!A94" display="Vut-voorziening en verlofregeling" xr:uid="{00000000-0004-0000-0D00-000002000000}"/>
    <hyperlink ref="A91" location="Voorzieningen!A104" display="Latente belastingvoorziening (actief en passief)" xr:uid="{00000000-0004-0000-0D00-000003000000}"/>
    <hyperlink ref="A110" location="Voorzieningen!A120" display="Actieve latenties" xr:uid="{00000000-0004-0000-0D00-000004000000}"/>
    <hyperlink ref="A118" location="Voorzieningen!A127" display="Voorziening reorganisatiekosten" xr:uid="{00000000-0004-0000-0D00-000005000000}"/>
    <hyperlink ref="A135" location="Voorzieningen!A138" display="Garantievoorziening" xr:uid="{00000000-0004-0000-0D00-000006000000}"/>
    <hyperlink ref="A143" location="Voorzieningen!A145" display="Voorziening Groot Onderhoud" xr:uid="{00000000-0004-0000-0D00-000007000000}"/>
    <hyperlink ref="A160" location="Voorzieningen!A157" display="Voorziening milieuschade" xr:uid="{00000000-0004-0000-0D00-000008000000}"/>
    <hyperlink ref="A168" location="Voorzieningen!A168" display="Voorziening herstelkosten" xr:uid="{00000000-0004-0000-0D00-000009000000}"/>
    <hyperlink ref="A174" location="Voorzieningen!A173" display="Voorziening verwijderingsverplichtingen" xr:uid="{00000000-0004-0000-0D00-00000A000000}"/>
    <hyperlink ref="A177" location="Voorzieningen!A176" display="Voorziening arbeidsongeschiktheidskosten" xr:uid="{00000000-0004-0000-0D00-00000B000000}"/>
    <hyperlink ref="A5" location="Voorzieningen!A2" display="VOORZIENINGEN" xr:uid="{00000000-0004-0000-0D00-00000C000000}"/>
    <hyperlink ref="A101" location="'Belasting naar de winst'!A1" display="Zie verder Belasting naar de winst" xr:uid="{00000000-0004-0000-0D00-00000D000000}"/>
  </hyperlinks>
  <pageMargins left="0.75" right="0.75" top="1" bottom="1" header="0.5" footer="0.5"/>
  <pageSetup paperSize="9" scale="74"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4347" r:id="rId5" name="Button 11">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14">
    <tabColor rgb="FF951B81"/>
    <pageSetUpPr fitToPage="1"/>
  </sheetPr>
  <dimension ref="A1:J69"/>
  <sheetViews>
    <sheetView showGridLines="0" zoomScaleNormal="100" workbookViewId="0">
      <pane ySplit="5" topLeftCell="A25" activePane="bottomLeft" state="frozen"/>
      <selection activeCell="A119" sqref="A119"/>
      <selection pane="bottomLeft" activeCell="A59" sqref="A59"/>
    </sheetView>
  </sheetViews>
  <sheetFormatPr defaultColWidth="9.1796875" defaultRowHeight="12.5" x14ac:dyDescent="0.25"/>
  <cols>
    <col min="1" max="1" width="60.7265625" style="6" customWidth="1"/>
    <col min="2" max="2" width="10.7265625" style="1" customWidth="1"/>
    <col min="3" max="3" width="10.81640625" style="1" customWidth="1"/>
    <col min="4" max="4" width="8.453125" style="1" customWidth="1"/>
    <col min="5" max="5" width="10.7265625" style="6" customWidth="1"/>
    <col min="6" max="6" width="10.7265625" style="58" customWidth="1"/>
    <col min="7" max="7" width="45" style="58" customWidth="1"/>
    <col min="8" max="10" width="9.1796875" style="58"/>
    <col min="11" max="16384" width="9.1796875" style="6"/>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ht="20.149999999999999" customHeight="1" x14ac:dyDescent="0.25">
      <c r="B4" s="256" t="str">
        <f>CONCATENATE("Klant en boekjaar: ",Klantnummer,"; ",Naam_klant,";  ",Boekjaar)</f>
        <v xml:space="preserve">Klant en boekjaar: ; ;  </v>
      </c>
      <c r="C4" s="255"/>
      <c r="D4" s="255"/>
      <c r="E4" s="255"/>
      <c r="F4" s="255"/>
    </row>
    <row r="5" spans="1:10" ht="15.5" x14ac:dyDescent="0.25">
      <c r="A5" s="218" t="s">
        <v>692</v>
      </c>
      <c r="B5" s="219" t="s">
        <v>642</v>
      </c>
      <c r="C5" s="219" t="s">
        <v>643</v>
      </c>
      <c r="D5" s="219" t="s">
        <v>644</v>
      </c>
      <c r="E5" s="220" t="s">
        <v>645</v>
      </c>
      <c r="F5" s="219" t="s">
        <v>54</v>
      </c>
      <c r="G5" s="199" t="s">
        <v>2858</v>
      </c>
    </row>
    <row r="6" spans="1:10" s="46" customFormat="1" ht="25" x14ac:dyDescent="0.3">
      <c r="A6" s="53" t="s">
        <v>692</v>
      </c>
      <c r="B6" s="208" t="s">
        <v>144</v>
      </c>
      <c r="C6" s="32" t="s">
        <v>144</v>
      </c>
      <c r="D6" s="208" t="s">
        <v>144</v>
      </c>
      <c r="E6" s="31" t="s">
        <v>2580</v>
      </c>
      <c r="F6" s="55"/>
      <c r="G6" s="60"/>
      <c r="H6" s="64"/>
      <c r="I6" s="60"/>
      <c r="J6" s="60"/>
    </row>
    <row r="7" spans="1:10" s="46" customFormat="1" ht="13" x14ac:dyDescent="0.3">
      <c r="A7" s="53" t="s">
        <v>287</v>
      </c>
      <c r="B7" s="208" t="s">
        <v>144</v>
      </c>
      <c r="C7" s="32" t="s">
        <v>144</v>
      </c>
      <c r="D7" s="208" t="s">
        <v>144</v>
      </c>
      <c r="E7" s="43"/>
      <c r="F7" s="55"/>
      <c r="G7" s="59"/>
      <c r="H7" s="64" t="s">
        <v>2182</v>
      </c>
      <c r="I7" s="60"/>
      <c r="J7" s="60"/>
    </row>
    <row r="8" spans="1:10" ht="25" x14ac:dyDescent="0.3">
      <c r="A8" s="10" t="s">
        <v>693</v>
      </c>
      <c r="B8" s="200" t="s">
        <v>144</v>
      </c>
      <c r="C8" s="2" t="s">
        <v>144</v>
      </c>
      <c r="D8" s="200" t="s">
        <v>144</v>
      </c>
      <c r="E8" s="29" t="s">
        <v>694</v>
      </c>
      <c r="F8" s="55"/>
      <c r="G8" s="60"/>
      <c r="H8" s="64" t="s">
        <v>2182</v>
      </c>
    </row>
    <row r="9" spans="1:10" ht="25" x14ac:dyDescent="0.3">
      <c r="A9" s="16" t="s">
        <v>695</v>
      </c>
      <c r="B9" s="200" t="s">
        <v>144</v>
      </c>
      <c r="C9" s="2" t="s">
        <v>144</v>
      </c>
      <c r="D9" s="200" t="s">
        <v>144</v>
      </c>
      <c r="E9" s="10" t="s">
        <v>696</v>
      </c>
      <c r="F9" s="55"/>
      <c r="G9" s="60"/>
      <c r="H9" s="64" t="s">
        <v>2182</v>
      </c>
    </row>
    <row r="10" spans="1:10" ht="13" x14ac:dyDescent="0.3">
      <c r="A10" s="10" t="s">
        <v>302</v>
      </c>
      <c r="B10" s="200" t="s">
        <v>144</v>
      </c>
      <c r="C10" s="2" t="s">
        <v>144</v>
      </c>
      <c r="D10" s="200" t="s">
        <v>144</v>
      </c>
      <c r="E10" s="11"/>
      <c r="F10" s="55"/>
      <c r="G10" s="60"/>
      <c r="H10" s="64" t="s">
        <v>2182</v>
      </c>
    </row>
    <row r="11" spans="1:10" ht="25" x14ac:dyDescent="0.3">
      <c r="A11" s="10" t="s">
        <v>764</v>
      </c>
      <c r="B11" s="200" t="s">
        <v>144</v>
      </c>
      <c r="C11" s="2" t="s">
        <v>144</v>
      </c>
      <c r="D11" s="200" t="s">
        <v>144</v>
      </c>
      <c r="E11" s="11"/>
      <c r="F11" s="55"/>
      <c r="G11" s="60"/>
      <c r="H11" s="64" t="s">
        <v>2182</v>
      </c>
    </row>
    <row r="12" spans="1:10" ht="37.5" x14ac:dyDescent="0.3">
      <c r="A12" s="16" t="s">
        <v>1749</v>
      </c>
      <c r="B12" s="200" t="s">
        <v>144</v>
      </c>
      <c r="C12" s="2" t="s">
        <v>144</v>
      </c>
      <c r="D12" s="200" t="s">
        <v>144</v>
      </c>
      <c r="E12" s="11"/>
      <c r="F12" s="55"/>
      <c r="G12" s="60"/>
      <c r="H12" s="64" t="s">
        <v>2182</v>
      </c>
    </row>
    <row r="13" spans="1:10" ht="25" x14ac:dyDescent="0.3">
      <c r="A13" s="16" t="s">
        <v>1750</v>
      </c>
      <c r="B13" s="200" t="s">
        <v>144</v>
      </c>
      <c r="C13" s="2" t="s">
        <v>144</v>
      </c>
      <c r="D13" s="200" t="s">
        <v>144</v>
      </c>
      <c r="E13" s="10" t="s">
        <v>661</v>
      </c>
      <c r="F13" s="55"/>
      <c r="G13" s="60"/>
      <c r="H13" s="64" t="s">
        <v>2182</v>
      </c>
    </row>
    <row r="14" spans="1:10" ht="13" x14ac:dyDescent="0.3">
      <c r="A14" s="10" t="s">
        <v>662</v>
      </c>
      <c r="B14" s="200" t="s">
        <v>144</v>
      </c>
      <c r="C14" s="2" t="s">
        <v>144</v>
      </c>
      <c r="D14" s="200" t="s">
        <v>144</v>
      </c>
      <c r="E14" s="10" t="s">
        <v>663</v>
      </c>
      <c r="F14" s="55"/>
      <c r="G14" s="60"/>
      <c r="H14" s="64" t="s">
        <v>2182</v>
      </c>
    </row>
    <row r="15" spans="1:10" ht="13" x14ac:dyDescent="0.3">
      <c r="A15" s="16" t="s">
        <v>1510</v>
      </c>
      <c r="B15" s="200" t="s">
        <v>144</v>
      </c>
      <c r="C15" s="2" t="s">
        <v>144</v>
      </c>
      <c r="D15" s="200" t="s">
        <v>144</v>
      </c>
      <c r="E15" s="10"/>
      <c r="F15" s="55"/>
      <c r="G15" s="60"/>
      <c r="H15" s="64" t="s">
        <v>2182</v>
      </c>
    </row>
    <row r="16" spans="1:10" ht="13" x14ac:dyDescent="0.3">
      <c r="A16" s="16" t="s">
        <v>1263</v>
      </c>
      <c r="B16" s="200" t="s">
        <v>144</v>
      </c>
      <c r="C16" s="2" t="s">
        <v>144</v>
      </c>
      <c r="D16" s="200" t="s">
        <v>144</v>
      </c>
      <c r="E16" s="10" t="s">
        <v>664</v>
      </c>
      <c r="F16" s="55"/>
      <c r="G16" s="60"/>
      <c r="H16" s="64" t="s">
        <v>2182</v>
      </c>
    </row>
    <row r="17" spans="1:8" ht="13" x14ac:dyDescent="0.3">
      <c r="A17" s="16" t="s">
        <v>1511</v>
      </c>
      <c r="B17" s="200" t="s">
        <v>144</v>
      </c>
      <c r="C17" s="2" t="s">
        <v>144</v>
      </c>
      <c r="D17" s="200" t="s">
        <v>144</v>
      </c>
      <c r="E17" s="10" t="s">
        <v>665</v>
      </c>
      <c r="F17" s="55"/>
      <c r="G17" s="60"/>
      <c r="H17" s="64" t="s">
        <v>2182</v>
      </c>
    </row>
    <row r="18" spans="1:8" ht="13" x14ac:dyDescent="0.3">
      <c r="A18" s="10" t="s">
        <v>235</v>
      </c>
      <c r="B18" s="200" t="s">
        <v>144</v>
      </c>
      <c r="C18" s="2" t="s">
        <v>144</v>
      </c>
      <c r="D18" s="200" t="s">
        <v>144</v>
      </c>
      <c r="E18" s="10" t="s">
        <v>666</v>
      </c>
      <c r="F18" s="55"/>
      <c r="G18" s="60"/>
      <c r="H18" s="64" t="s">
        <v>2182</v>
      </c>
    </row>
    <row r="19" spans="1:8" ht="50" x14ac:dyDescent="0.3">
      <c r="A19" s="16" t="s">
        <v>1512</v>
      </c>
      <c r="B19" s="200" t="s">
        <v>144</v>
      </c>
      <c r="C19" s="2" t="s">
        <v>144</v>
      </c>
      <c r="D19" s="200" t="s">
        <v>144</v>
      </c>
      <c r="E19" s="2" t="s">
        <v>519</v>
      </c>
      <c r="F19" s="55"/>
      <c r="G19" s="60"/>
      <c r="H19" s="64" t="s">
        <v>2182</v>
      </c>
    </row>
    <row r="20" spans="1:8" ht="13" x14ac:dyDescent="0.3">
      <c r="A20" s="10" t="s">
        <v>547</v>
      </c>
      <c r="B20" s="200" t="s">
        <v>646</v>
      </c>
      <c r="C20" s="2" t="s">
        <v>646</v>
      </c>
      <c r="D20" s="200" t="s">
        <v>646</v>
      </c>
      <c r="E20" s="11"/>
      <c r="F20" s="55"/>
      <c r="G20" s="60"/>
      <c r="H20" s="64" t="s">
        <v>2182</v>
      </c>
    </row>
    <row r="21" spans="1:8" ht="25" x14ac:dyDescent="0.3">
      <c r="A21" s="16" t="s">
        <v>1751</v>
      </c>
      <c r="B21" s="200" t="s">
        <v>646</v>
      </c>
      <c r="C21" s="2" t="s">
        <v>646</v>
      </c>
      <c r="D21" s="200" t="s">
        <v>646</v>
      </c>
      <c r="E21" s="11"/>
      <c r="F21" s="55"/>
      <c r="G21" s="60"/>
      <c r="H21" s="64" t="s">
        <v>2182</v>
      </c>
    </row>
    <row r="22" spans="1:8" ht="13" x14ac:dyDescent="0.3">
      <c r="A22" s="16" t="s">
        <v>1112</v>
      </c>
      <c r="B22" s="200" t="s">
        <v>646</v>
      </c>
      <c r="C22" s="2" t="s">
        <v>646</v>
      </c>
      <c r="D22" s="200" t="s">
        <v>646</v>
      </c>
      <c r="E22" s="11"/>
      <c r="F22" s="55"/>
      <c r="G22" s="60"/>
      <c r="H22" s="64" t="s">
        <v>2182</v>
      </c>
    </row>
    <row r="23" spans="1:8" ht="13" x14ac:dyDescent="0.3">
      <c r="A23" s="16" t="s">
        <v>71</v>
      </c>
      <c r="B23" s="200" t="s">
        <v>646</v>
      </c>
      <c r="C23" s="2" t="s">
        <v>646</v>
      </c>
      <c r="D23" s="200"/>
      <c r="E23" s="2" t="s">
        <v>1607</v>
      </c>
      <c r="F23" s="55"/>
      <c r="G23" s="60"/>
      <c r="H23" s="64" t="s">
        <v>2182</v>
      </c>
    </row>
    <row r="24" spans="1:8" ht="25" x14ac:dyDescent="0.3">
      <c r="A24" s="79" t="s">
        <v>1513</v>
      </c>
      <c r="B24" s="200" t="s">
        <v>646</v>
      </c>
      <c r="C24" s="2" t="s">
        <v>646</v>
      </c>
      <c r="D24" s="200"/>
      <c r="E24" s="11"/>
      <c r="F24" s="55"/>
      <c r="G24" s="60"/>
      <c r="H24" s="64" t="s">
        <v>2182</v>
      </c>
    </row>
    <row r="25" spans="1:8" ht="13" x14ac:dyDescent="0.3">
      <c r="A25" s="79" t="s">
        <v>1514</v>
      </c>
      <c r="B25" s="200" t="s">
        <v>646</v>
      </c>
      <c r="C25" s="2" t="s">
        <v>646</v>
      </c>
      <c r="D25" s="200"/>
      <c r="E25" s="11"/>
      <c r="F25" s="55"/>
      <c r="G25" s="95"/>
      <c r="H25" s="64" t="s">
        <v>2182</v>
      </c>
    </row>
    <row r="26" spans="1:8" ht="13" x14ac:dyDescent="0.3">
      <c r="A26" s="79" t="s">
        <v>1264</v>
      </c>
      <c r="B26" s="200" t="s">
        <v>646</v>
      </c>
      <c r="C26" s="2" t="s">
        <v>843</v>
      </c>
      <c r="D26" s="200"/>
      <c r="E26" s="11"/>
      <c r="F26" s="55"/>
      <c r="G26" s="60"/>
      <c r="H26" s="64" t="s">
        <v>2182</v>
      </c>
    </row>
    <row r="27" spans="1:8" ht="13" x14ac:dyDescent="0.3">
      <c r="A27" s="79" t="s">
        <v>1265</v>
      </c>
      <c r="B27" s="200" t="s">
        <v>646</v>
      </c>
      <c r="C27" s="2" t="s">
        <v>843</v>
      </c>
      <c r="D27" s="200"/>
      <c r="E27" s="11"/>
      <c r="F27" s="55"/>
      <c r="G27" s="60"/>
      <c r="H27" s="64" t="s">
        <v>2182</v>
      </c>
    </row>
    <row r="28" spans="1:8" ht="13" x14ac:dyDescent="0.3">
      <c r="A28" s="79" t="s">
        <v>1266</v>
      </c>
      <c r="B28" s="200" t="s">
        <v>646</v>
      </c>
      <c r="C28" s="2" t="s">
        <v>843</v>
      </c>
      <c r="D28" s="200"/>
      <c r="E28" s="11"/>
      <c r="F28" s="55"/>
      <c r="G28" s="60"/>
      <c r="H28" s="64" t="s">
        <v>2182</v>
      </c>
    </row>
    <row r="29" spans="1:8" ht="13" x14ac:dyDescent="0.3">
      <c r="A29" s="79" t="s">
        <v>1267</v>
      </c>
      <c r="B29" s="200" t="s">
        <v>646</v>
      </c>
      <c r="C29" s="2" t="s">
        <v>646</v>
      </c>
      <c r="D29" s="200"/>
      <c r="E29" s="11"/>
      <c r="F29" s="55"/>
      <c r="G29" s="60"/>
      <c r="H29" s="64" t="s">
        <v>2182</v>
      </c>
    </row>
    <row r="30" spans="1:8" ht="13" x14ac:dyDescent="0.3">
      <c r="A30" s="79" t="s">
        <v>1268</v>
      </c>
      <c r="B30" s="200" t="s">
        <v>646</v>
      </c>
      <c r="C30" s="2" t="s">
        <v>646</v>
      </c>
      <c r="D30" s="200"/>
      <c r="E30" s="11"/>
      <c r="F30" s="55"/>
      <c r="G30" s="60"/>
      <c r="H30" s="64" t="s">
        <v>2182</v>
      </c>
    </row>
    <row r="31" spans="1:8" ht="13" x14ac:dyDescent="0.3">
      <c r="A31" s="79" t="s">
        <v>1269</v>
      </c>
      <c r="B31" s="200" t="s">
        <v>646</v>
      </c>
      <c r="C31" s="2" t="s">
        <v>843</v>
      </c>
      <c r="D31" s="200"/>
      <c r="E31" s="11"/>
      <c r="F31" s="55"/>
      <c r="G31" s="60"/>
      <c r="H31" s="64" t="s">
        <v>2182</v>
      </c>
    </row>
    <row r="32" spans="1:8" ht="13" x14ac:dyDescent="0.3">
      <c r="A32" s="79" t="s">
        <v>1270</v>
      </c>
      <c r="B32" s="200" t="s">
        <v>646</v>
      </c>
      <c r="C32" s="2" t="s">
        <v>843</v>
      </c>
      <c r="D32" s="200"/>
      <c r="E32" s="11"/>
      <c r="F32" s="55"/>
      <c r="G32" s="60"/>
      <c r="H32" s="64" t="s">
        <v>2182</v>
      </c>
    </row>
    <row r="33" spans="1:8" ht="25" x14ac:dyDescent="0.3">
      <c r="A33" s="79" t="s">
        <v>2414</v>
      </c>
      <c r="B33" s="200" t="s">
        <v>646</v>
      </c>
      <c r="C33" s="2" t="s">
        <v>646</v>
      </c>
      <c r="D33" s="200"/>
      <c r="E33" s="11" t="s">
        <v>2104</v>
      </c>
      <c r="F33" s="55"/>
      <c r="G33" s="60"/>
      <c r="H33" s="64" t="s">
        <v>2182</v>
      </c>
    </row>
    <row r="34" spans="1:8" ht="13" x14ac:dyDescent="0.3">
      <c r="A34" s="79" t="s">
        <v>1752</v>
      </c>
      <c r="B34" s="200" t="s">
        <v>646</v>
      </c>
      <c r="C34" s="2" t="s">
        <v>843</v>
      </c>
      <c r="D34" s="200"/>
      <c r="E34" s="11"/>
      <c r="F34" s="55"/>
      <c r="G34" s="60"/>
      <c r="H34" s="64" t="s">
        <v>2182</v>
      </c>
    </row>
    <row r="35" spans="1:8" ht="13" x14ac:dyDescent="0.3">
      <c r="A35" s="15" t="s">
        <v>236</v>
      </c>
      <c r="B35" s="200" t="s">
        <v>646</v>
      </c>
      <c r="C35" s="2" t="s">
        <v>646</v>
      </c>
      <c r="D35" s="200"/>
      <c r="E35" s="11"/>
      <c r="F35" s="55"/>
      <c r="G35" s="60"/>
      <c r="H35" s="64" t="s">
        <v>2182</v>
      </c>
    </row>
    <row r="36" spans="1:8" ht="13" x14ac:dyDescent="0.3">
      <c r="A36" s="125" t="s">
        <v>697</v>
      </c>
      <c r="B36" s="200" t="s">
        <v>646</v>
      </c>
      <c r="C36" s="2" t="s">
        <v>646</v>
      </c>
      <c r="D36" s="200" t="s">
        <v>646</v>
      </c>
      <c r="E36" s="11"/>
      <c r="F36" s="55"/>
      <c r="G36" s="60"/>
      <c r="H36" s="64"/>
    </row>
    <row r="37" spans="1:8" ht="37.5" x14ac:dyDescent="0.3">
      <c r="A37" s="79" t="s">
        <v>2415</v>
      </c>
      <c r="B37" s="200" t="s">
        <v>646</v>
      </c>
      <c r="C37" s="2" t="s">
        <v>646</v>
      </c>
      <c r="D37" s="200" t="s">
        <v>646</v>
      </c>
      <c r="E37" s="11" t="s">
        <v>698</v>
      </c>
      <c r="F37" s="55"/>
      <c r="G37" s="60"/>
      <c r="H37" s="64"/>
    </row>
    <row r="38" spans="1:8" ht="13" x14ac:dyDescent="0.3">
      <c r="A38" s="85" t="s">
        <v>2178</v>
      </c>
      <c r="B38" s="200" t="s">
        <v>646</v>
      </c>
      <c r="C38" s="2" t="s">
        <v>646</v>
      </c>
      <c r="D38" s="200" t="s">
        <v>646</v>
      </c>
      <c r="E38" s="11"/>
      <c r="F38" s="55"/>
      <c r="G38" s="60"/>
      <c r="H38" s="64" t="s">
        <v>2182</v>
      </c>
    </row>
    <row r="39" spans="1:8" ht="37.5" x14ac:dyDescent="0.3">
      <c r="A39" s="79" t="s">
        <v>2706</v>
      </c>
      <c r="B39" s="200" t="s">
        <v>646</v>
      </c>
      <c r="C39" s="2" t="s">
        <v>646</v>
      </c>
      <c r="D39" s="200" t="s">
        <v>646</v>
      </c>
      <c r="E39" s="2" t="s">
        <v>667</v>
      </c>
      <c r="F39" s="55"/>
      <c r="G39" s="60"/>
      <c r="H39" s="64" t="s">
        <v>2182</v>
      </c>
    </row>
    <row r="40" spans="1:8" ht="25" x14ac:dyDescent="0.3">
      <c r="A40" s="79" t="s">
        <v>2172</v>
      </c>
      <c r="B40" s="200" t="s">
        <v>646</v>
      </c>
      <c r="C40" s="2" t="s">
        <v>646</v>
      </c>
      <c r="D40" s="200" t="s">
        <v>646</v>
      </c>
      <c r="E40" s="2" t="s">
        <v>667</v>
      </c>
      <c r="F40" s="55"/>
      <c r="G40" s="60"/>
      <c r="H40" s="64" t="s">
        <v>2182</v>
      </c>
    </row>
    <row r="41" spans="1:8" ht="13" x14ac:dyDescent="0.3">
      <c r="A41" s="79" t="s">
        <v>2318</v>
      </c>
      <c r="B41" s="200" t="s">
        <v>646</v>
      </c>
      <c r="C41" s="2" t="s">
        <v>646</v>
      </c>
      <c r="D41" s="200"/>
      <c r="E41" s="2" t="s">
        <v>2107</v>
      </c>
      <c r="F41" s="55"/>
      <c r="G41" s="60"/>
      <c r="H41" s="64" t="s">
        <v>2182</v>
      </c>
    </row>
    <row r="42" spans="1:8" ht="37.5" x14ac:dyDescent="0.3">
      <c r="A42" s="79" t="s">
        <v>2108</v>
      </c>
      <c r="B42" s="200" t="s">
        <v>646</v>
      </c>
      <c r="C42" s="2" t="s">
        <v>646</v>
      </c>
      <c r="D42" s="200" t="s">
        <v>646</v>
      </c>
      <c r="E42" s="16" t="s">
        <v>2109</v>
      </c>
      <c r="F42" s="55"/>
      <c r="G42" s="60"/>
      <c r="H42" s="64" t="s">
        <v>2182</v>
      </c>
    </row>
    <row r="43" spans="1:8" ht="13" x14ac:dyDescent="0.3">
      <c r="A43" s="125" t="s">
        <v>2179</v>
      </c>
      <c r="B43" s="200" t="s">
        <v>646</v>
      </c>
      <c r="C43" s="2" t="s">
        <v>646</v>
      </c>
      <c r="D43" s="200" t="s">
        <v>646</v>
      </c>
      <c r="E43" s="2"/>
      <c r="F43" s="55"/>
      <c r="G43" s="60"/>
      <c r="H43" s="64"/>
    </row>
    <row r="44" spans="1:8" ht="25" x14ac:dyDescent="0.3">
      <c r="A44" s="79" t="s">
        <v>2319</v>
      </c>
      <c r="B44" s="200" t="s">
        <v>646</v>
      </c>
      <c r="C44" s="2" t="s">
        <v>646</v>
      </c>
      <c r="D44" s="200" t="s">
        <v>646</v>
      </c>
      <c r="E44" s="2" t="s">
        <v>2110</v>
      </c>
      <c r="F44" s="55"/>
      <c r="G44" s="60"/>
      <c r="H44" s="64"/>
    </row>
    <row r="45" spans="1:8" ht="50" x14ac:dyDescent="0.3">
      <c r="A45" s="79" t="s">
        <v>2320</v>
      </c>
      <c r="B45" s="200" t="s">
        <v>646</v>
      </c>
      <c r="C45" s="2" t="s">
        <v>646</v>
      </c>
      <c r="D45" s="200" t="s">
        <v>646</v>
      </c>
      <c r="E45" s="2" t="s">
        <v>2111</v>
      </c>
      <c r="F45" s="55"/>
      <c r="G45" s="60"/>
      <c r="H45" s="64"/>
    </row>
    <row r="46" spans="1:8" ht="13" x14ac:dyDescent="0.3">
      <c r="A46" s="16" t="s">
        <v>299</v>
      </c>
      <c r="B46" s="200" t="s">
        <v>646</v>
      </c>
      <c r="C46" s="2" t="s">
        <v>800</v>
      </c>
      <c r="D46" s="200" t="s">
        <v>646</v>
      </c>
      <c r="E46" s="11"/>
      <c r="F46" s="55"/>
      <c r="G46" s="60"/>
      <c r="H46" s="64" t="s">
        <v>2182</v>
      </c>
    </row>
    <row r="47" spans="1:8" ht="13" x14ac:dyDescent="0.3">
      <c r="A47" s="79" t="s">
        <v>1271</v>
      </c>
      <c r="B47" s="200" t="s">
        <v>646</v>
      </c>
      <c r="C47" s="2" t="s">
        <v>646</v>
      </c>
      <c r="D47" s="200"/>
      <c r="E47" s="2" t="s">
        <v>667</v>
      </c>
      <c r="F47" s="55"/>
      <c r="G47" s="60" t="s">
        <v>1856</v>
      </c>
      <c r="H47" s="64" t="s">
        <v>2182</v>
      </c>
    </row>
    <row r="48" spans="1:8" ht="13" x14ac:dyDescent="0.3">
      <c r="A48" s="30" t="s">
        <v>237</v>
      </c>
      <c r="B48" s="200" t="s">
        <v>646</v>
      </c>
      <c r="C48" s="2" t="s">
        <v>844</v>
      </c>
      <c r="D48" s="200"/>
      <c r="E48" s="2" t="s">
        <v>1860</v>
      </c>
      <c r="F48" s="55"/>
      <c r="G48" s="60"/>
      <c r="H48" s="64" t="s">
        <v>2182</v>
      </c>
    </row>
    <row r="49" spans="1:8" ht="13" x14ac:dyDescent="0.3">
      <c r="A49" s="85" t="s">
        <v>399</v>
      </c>
      <c r="B49" s="200" t="s">
        <v>646</v>
      </c>
      <c r="C49" s="2" t="s">
        <v>646</v>
      </c>
      <c r="D49" s="200" t="s">
        <v>646</v>
      </c>
      <c r="E49" s="11"/>
      <c r="F49" s="55"/>
      <c r="G49" s="60"/>
      <c r="H49" s="64" t="s">
        <v>2182</v>
      </c>
    </row>
    <row r="50" spans="1:8" ht="25" x14ac:dyDescent="0.3">
      <c r="A50" s="10" t="s">
        <v>1515</v>
      </c>
      <c r="B50" s="200" t="s">
        <v>646</v>
      </c>
      <c r="C50" s="2" t="s">
        <v>646</v>
      </c>
      <c r="D50" s="200" t="s">
        <v>646</v>
      </c>
      <c r="E50" s="2" t="s">
        <v>886</v>
      </c>
      <c r="F50" s="55"/>
      <c r="G50" s="95"/>
      <c r="H50" s="64" t="s">
        <v>2182</v>
      </c>
    </row>
    <row r="51" spans="1:8" ht="25" x14ac:dyDescent="0.3">
      <c r="A51" s="10" t="s">
        <v>1861</v>
      </c>
      <c r="B51" s="200" t="s">
        <v>646</v>
      </c>
      <c r="C51" s="2" t="s">
        <v>646</v>
      </c>
      <c r="D51" s="200" t="s">
        <v>646</v>
      </c>
      <c r="E51" s="16" t="s">
        <v>1862</v>
      </c>
      <c r="F51" s="55"/>
      <c r="G51" s="95"/>
      <c r="H51" s="64" t="s">
        <v>2182</v>
      </c>
    </row>
    <row r="52" spans="1:8" ht="25" x14ac:dyDescent="0.3">
      <c r="A52" s="16" t="s">
        <v>1516</v>
      </c>
      <c r="B52" s="200" t="s">
        <v>646</v>
      </c>
      <c r="C52" s="2" t="s">
        <v>646</v>
      </c>
      <c r="D52" s="200" t="s">
        <v>646</v>
      </c>
      <c r="E52" s="2" t="s">
        <v>886</v>
      </c>
      <c r="F52" s="55"/>
      <c r="G52" s="95"/>
      <c r="H52" s="64" t="s">
        <v>2182</v>
      </c>
    </row>
    <row r="53" spans="1:8" ht="25" x14ac:dyDescent="0.3">
      <c r="A53" s="10" t="s">
        <v>400</v>
      </c>
      <c r="B53" s="200" t="s">
        <v>646</v>
      </c>
      <c r="C53" s="2" t="s">
        <v>843</v>
      </c>
      <c r="D53" s="200"/>
      <c r="E53" s="2" t="s">
        <v>1517</v>
      </c>
      <c r="F53" s="55"/>
      <c r="G53" s="60"/>
      <c r="H53" s="64" t="s">
        <v>2182</v>
      </c>
    </row>
    <row r="54" spans="1:8" ht="13" x14ac:dyDescent="0.3">
      <c r="A54" s="10" t="s">
        <v>401</v>
      </c>
      <c r="B54" s="200" t="s">
        <v>646</v>
      </c>
      <c r="C54" s="2" t="s">
        <v>843</v>
      </c>
      <c r="D54" s="200"/>
      <c r="E54" s="2" t="s">
        <v>1518</v>
      </c>
      <c r="F54" s="55"/>
      <c r="G54" s="60"/>
      <c r="H54" s="64" t="s">
        <v>2182</v>
      </c>
    </row>
    <row r="55" spans="1:8" ht="13" x14ac:dyDescent="0.3">
      <c r="A55" s="16" t="s">
        <v>1688</v>
      </c>
      <c r="B55" s="200" t="s">
        <v>646</v>
      </c>
      <c r="C55" s="2" t="s">
        <v>646</v>
      </c>
      <c r="D55" s="200" t="s">
        <v>646</v>
      </c>
      <c r="E55" s="11"/>
      <c r="F55" s="55"/>
      <c r="G55" s="60"/>
      <c r="H55" s="64" t="s">
        <v>2182</v>
      </c>
    </row>
    <row r="56" spans="1:8" ht="13" x14ac:dyDescent="0.3">
      <c r="A56" s="16" t="s">
        <v>1667</v>
      </c>
      <c r="B56" s="200" t="s">
        <v>646</v>
      </c>
      <c r="C56" s="2" t="s">
        <v>646</v>
      </c>
      <c r="D56" s="200" t="s">
        <v>646</v>
      </c>
      <c r="E56" s="11"/>
      <c r="F56" s="55"/>
      <c r="G56" s="60"/>
      <c r="H56" s="64" t="s">
        <v>2182</v>
      </c>
    </row>
    <row r="57" spans="1:8" ht="37.5" x14ac:dyDescent="0.3">
      <c r="A57" s="79" t="s">
        <v>2707</v>
      </c>
      <c r="B57" s="200" t="s">
        <v>646</v>
      </c>
      <c r="C57" s="2" t="s">
        <v>646</v>
      </c>
      <c r="D57" s="200" t="s">
        <v>646</v>
      </c>
      <c r="E57" s="2" t="s">
        <v>70</v>
      </c>
      <c r="F57" s="55"/>
      <c r="G57" s="60"/>
      <c r="H57" s="64" t="s">
        <v>2182</v>
      </c>
    </row>
    <row r="58" spans="1:8" ht="25" x14ac:dyDescent="0.3">
      <c r="A58" s="15" t="s">
        <v>238</v>
      </c>
      <c r="B58" s="200" t="s">
        <v>646</v>
      </c>
      <c r="C58" s="2" t="s">
        <v>646</v>
      </c>
      <c r="D58" s="200" t="s">
        <v>646</v>
      </c>
      <c r="E58" s="2" t="s">
        <v>154</v>
      </c>
      <c r="F58" s="55"/>
      <c r="G58" s="95"/>
      <c r="H58" s="64" t="s">
        <v>2182</v>
      </c>
    </row>
    <row r="59" spans="1:8" ht="13" x14ac:dyDescent="0.3">
      <c r="A59" s="136" t="s">
        <v>66</v>
      </c>
      <c r="B59" s="200" t="s">
        <v>646</v>
      </c>
      <c r="C59" s="2" t="s">
        <v>646</v>
      </c>
      <c r="D59" s="200" t="s">
        <v>646</v>
      </c>
      <c r="E59" s="2"/>
      <c r="F59" s="55"/>
      <c r="G59" s="95"/>
      <c r="H59" s="64"/>
    </row>
    <row r="60" spans="1:8" ht="13" x14ac:dyDescent="0.3">
      <c r="A60" s="15" t="s">
        <v>67</v>
      </c>
      <c r="B60" s="200" t="s">
        <v>646</v>
      </c>
      <c r="C60" s="2" t="s">
        <v>646</v>
      </c>
      <c r="D60" s="200" t="s">
        <v>646</v>
      </c>
      <c r="E60" s="2" t="s">
        <v>68</v>
      </c>
      <c r="F60" s="55"/>
      <c r="G60" s="95"/>
      <c r="H60" s="64"/>
    </row>
    <row r="61" spans="1:8" ht="13" x14ac:dyDescent="0.3">
      <c r="A61" s="79" t="s">
        <v>2112</v>
      </c>
      <c r="B61" s="200" t="s">
        <v>646</v>
      </c>
      <c r="C61" s="2" t="s">
        <v>646</v>
      </c>
      <c r="D61" s="200" t="s">
        <v>646</v>
      </c>
      <c r="E61" s="2"/>
      <c r="F61" s="55"/>
      <c r="G61" s="95"/>
      <c r="H61" s="64"/>
    </row>
    <row r="62" spans="1:8" ht="13" x14ac:dyDescent="0.3">
      <c r="A62" s="79" t="s">
        <v>2113</v>
      </c>
      <c r="B62" s="200" t="s">
        <v>646</v>
      </c>
      <c r="C62" s="2" t="s">
        <v>646</v>
      </c>
      <c r="D62" s="200" t="s">
        <v>646</v>
      </c>
      <c r="E62" s="2"/>
      <c r="F62" s="55"/>
      <c r="G62" s="95"/>
      <c r="H62" s="64"/>
    </row>
    <row r="63" spans="1:8" ht="42.65" customHeight="1" x14ac:dyDescent="0.3">
      <c r="A63" s="79" t="s">
        <v>2926</v>
      </c>
      <c r="B63" s="200" t="s">
        <v>646</v>
      </c>
      <c r="C63" s="2" t="s">
        <v>646</v>
      </c>
      <c r="D63" s="200"/>
      <c r="E63" s="2"/>
      <c r="F63" s="55"/>
      <c r="G63" s="95" t="s">
        <v>993</v>
      </c>
      <c r="H63" s="64"/>
    </row>
    <row r="64" spans="1:8" ht="53.15" customHeight="1" x14ac:dyDescent="0.3">
      <c r="A64" s="79" t="s">
        <v>2927</v>
      </c>
      <c r="B64" s="200" t="s">
        <v>646</v>
      </c>
      <c r="C64" s="2" t="s">
        <v>646</v>
      </c>
      <c r="D64" s="200"/>
      <c r="E64" s="2"/>
      <c r="F64" s="55"/>
      <c r="G64" s="95" t="s">
        <v>993</v>
      </c>
      <c r="H64" s="64"/>
    </row>
    <row r="65" spans="1:8" ht="25" x14ac:dyDescent="0.3">
      <c r="A65" s="15" t="s">
        <v>2114</v>
      </c>
      <c r="B65" s="200" t="s">
        <v>646</v>
      </c>
      <c r="C65" s="2" t="s">
        <v>646</v>
      </c>
      <c r="D65" s="200" t="s">
        <v>646</v>
      </c>
      <c r="E65" s="2"/>
      <c r="F65" s="55"/>
      <c r="G65" s="95"/>
      <c r="H65" s="64"/>
    </row>
    <row r="66" spans="1:8" ht="13" x14ac:dyDescent="0.3">
      <c r="A66" s="10" t="s">
        <v>599</v>
      </c>
      <c r="B66" s="200" t="s">
        <v>145</v>
      </c>
      <c r="C66" s="2" t="s">
        <v>145</v>
      </c>
      <c r="D66" s="200" t="s">
        <v>145</v>
      </c>
      <c r="E66" s="11"/>
      <c r="F66" s="55"/>
      <c r="G66" s="60"/>
      <c r="H66" s="64" t="s">
        <v>2182</v>
      </c>
    </row>
    <row r="67" spans="1:8" ht="62.5" x14ac:dyDescent="0.3">
      <c r="A67" s="15" t="s">
        <v>1001</v>
      </c>
      <c r="B67" s="200" t="s">
        <v>145</v>
      </c>
      <c r="C67" s="2" t="s">
        <v>145</v>
      </c>
      <c r="D67" s="200" t="s">
        <v>145</v>
      </c>
      <c r="E67" s="11"/>
      <c r="F67" s="55"/>
      <c r="G67" s="60"/>
      <c r="H67" s="64" t="s">
        <v>2182</v>
      </c>
    </row>
    <row r="68" spans="1:8" ht="169.5" customHeight="1" x14ac:dyDescent="0.3">
      <c r="A68" s="79" t="s">
        <v>2708</v>
      </c>
      <c r="B68" s="200" t="s">
        <v>145</v>
      </c>
      <c r="C68" s="2" t="s">
        <v>145</v>
      </c>
      <c r="D68" s="200" t="s">
        <v>145</v>
      </c>
      <c r="E68" s="11"/>
      <c r="F68" s="55"/>
      <c r="H68" s="64" t="s">
        <v>2182</v>
      </c>
    </row>
    <row r="69" spans="1:8" ht="13" x14ac:dyDescent="0.3">
      <c r="A69" s="5"/>
      <c r="G69" s="60"/>
      <c r="H69" s="64"/>
    </row>
  </sheetData>
  <sheetProtection algorithmName="SHA-512" hashValue="g8WbkclYpIBL/V9hOc6sTrnHkc3Y4bIcfWH0oO1BbAHeBR4EoByiw9x6GaRjuxL+nReO3ZoX5p5oCZ4DXuontg==" saltValue="KfdVbzqZq8ipp3tpXNx73A==" spinCount="100000" sheet="1" objects="1" scenarios="1" autoFilter="0"/>
  <autoFilter ref="B5:G68" xr:uid="{00000000-0009-0000-0000-00000E000000}"/>
  <customSheetViews>
    <customSheetView guid="{33D191C9-AE75-45EC-B301-B583C3381734}" showGridLines="0" fitToPage="1" printArea="1" showAutoFilter="1">
      <pane ySplit="5" topLeftCell="A46" activePane="bottomLeft" state="frozen"/>
      <selection pane="bottomLeft"/>
      <pageMargins left="0.75" right="0.75" top="1" bottom="1" header="0.5" footer="0.5"/>
      <pageSetup paperSize="9" scale="81" fitToHeight="100" orientation="landscape" r:id="rId1"/>
      <headerFooter alignWithMargins="0"/>
      <autoFilter ref="B1:G1" xr:uid="{56942CC3-1BE3-43A7-8EDD-F19EE344CEB3}"/>
    </customSheetView>
  </customSheetViews>
  <mergeCells count="1">
    <mergeCell ref="B4:F4"/>
  </mergeCells>
  <phoneticPr fontId="2" type="noConversion"/>
  <dataValidations count="1">
    <dataValidation type="list" allowBlank="1" showInputMessage="1" showErrorMessage="1" sqref="F7:F68" xr:uid="{00000000-0002-0000-0E00-000000000000}">
      <formula1>"Akkoord,Opmerking,N.v.t.,,"</formula1>
    </dataValidation>
  </dataValidations>
  <hyperlinks>
    <hyperlink ref="A7" location="'Schulden lange korte termijn'!A4" display="Algemeen" xr:uid="{00000000-0004-0000-0E00-000000000000}"/>
    <hyperlink ref="A5" location="'Schulden lange korte termijn'!A2" display="SCHULDEN OP LANGE EN KORTE TERMIJN" xr:uid="{00000000-0004-0000-0E00-000001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5365"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5">
    <tabColor rgb="FF951B81"/>
    <pageSetUpPr fitToPage="1"/>
  </sheetPr>
  <dimension ref="A1:J89"/>
  <sheetViews>
    <sheetView showGridLines="0" zoomScaleNormal="100" workbookViewId="0">
      <pane ySplit="5" topLeftCell="A6" activePane="bottomLeft" state="frozen"/>
      <selection activeCell="A119" sqref="A119"/>
      <selection pane="bottomLeft" activeCell="A6" sqref="A6"/>
    </sheetView>
  </sheetViews>
  <sheetFormatPr defaultColWidth="9.1796875" defaultRowHeight="12.5" x14ac:dyDescent="0.25"/>
  <cols>
    <col min="1" max="1" width="60.7265625" style="1" customWidth="1"/>
    <col min="2" max="2" width="10.7265625" style="1" customWidth="1"/>
    <col min="3" max="3" width="10.81640625" style="1" customWidth="1"/>
    <col min="4" max="4" width="8.453125" style="1" customWidth="1"/>
    <col min="5" max="5" width="13.453125" style="1" customWidth="1"/>
    <col min="6" max="6" width="10.7265625" style="59" customWidth="1"/>
    <col min="7" max="7" width="53.81640625" style="59" customWidth="1"/>
    <col min="8" max="10" width="9.1796875" style="59"/>
    <col min="11" max="16384" width="9.1796875" style="1"/>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s="6" customFormat="1" ht="20.149999999999999" customHeight="1" x14ac:dyDescent="0.25">
      <c r="B4" s="256" t="str">
        <f>CONCATENATE("Klant en boekjaar: ",Klantnummer,"; ",Naam_klant,";  ",Boekjaar)</f>
        <v xml:space="preserve">Klant en boekjaar: ; ;  </v>
      </c>
      <c r="C4" s="255"/>
      <c r="D4" s="255"/>
      <c r="E4" s="255"/>
      <c r="F4" s="255"/>
      <c r="G4" s="58"/>
      <c r="H4" s="58"/>
      <c r="I4" s="58"/>
      <c r="J4" s="58"/>
    </row>
    <row r="5" spans="1:10" ht="15.5" x14ac:dyDescent="0.25">
      <c r="A5" s="223" t="s">
        <v>268</v>
      </c>
      <c r="B5" s="219" t="s">
        <v>642</v>
      </c>
      <c r="C5" s="219" t="s">
        <v>643</v>
      </c>
      <c r="D5" s="219" t="s">
        <v>644</v>
      </c>
      <c r="E5" s="224" t="s">
        <v>645</v>
      </c>
      <c r="F5" s="225" t="s">
        <v>54</v>
      </c>
      <c r="G5" s="199" t="s">
        <v>2858</v>
      </c>
    </row>
    <row r="6" spans="1:10" s="46" customFormat="1" ht="25" x14ac:dyDescent="0.3">
      <c r="A6" s="39" t="s">
        <v>268</v>
      </c>
      <c r="B6" s="200" t="s">
        <v>144</v>
      </c>
      <c r="C6" s="2" t="s">
        <v>144</v>
      </c>
      <c r="D6" s="200" t="s">
        <v>144</v>
      </c>
      <c r="E6" s="16" t="s">
        <v>2575</v>
      </c>
      <c r="F6" s="55"/>
      <c r="G6" s="60"/>
      <c r="H6" s="64"/>
      <c r="I6" s="60"/>
      <c r="J6" s="60"/>
    </row>
    <row r="7" spans="1:10" s="46" customFormat="1" ht="13" x14ac:dyDescent="0.3">
      <c r="A7" s="104" t="s">
        <v>1520</v>
      </c>
      <c r="B7" s="208" t="s">
        <v>144</v>
      </c>
      <c r="C7" s="32" t="s">
        <v>144</v>
      </c>
      <c r="D7" s="208" t="s">
        <v>144</v>
      </c>
      <c r="F7" s="55"/>
      <c r="G7" s="60"/>
      <c r="H7" s="64"/>
      <c r="I7" s="60"/>
      <c r="J7" s="60"/>
    </row>
    <row r="8" spans="1:10" s="46" customFormat="1" ht="62.5" x14ac:dyDescent="0.3">
      <c r="A8" s="79" t="s">
        <v>1521</v>
      </c>
      <c r="B8" s="208" t="s">
        <v>144</v>
      </c>
      <c r="C8" s="32" t="s">
        <v>144</v>
      </c>
      <c r="D8" s="208" t="s">
        <v>144</v>
      </c>
      <c r="E8" s="2" t="s">
        <v>70</v>
      </c>
      <c r="F8" s="55"/>
      <c r="G8" s="60"/>
      <c r="H8" s="64"/>
      <c r="I8" s="60"/>
      <c r="J8" s="60"/>
    </row>
    <row r="9" spans="1:10" s="46" customFormat="1" ht="37.5" x14ac:dyDescent="0.3">
      <c r="A9" s="79" t="s">
        <v>1522</v>
      </c>
      <c r="B9" s="208" t="s">
        <v>144</v>
      </c>
      <c r="C9" s="32" t="s">
        <v>144</v>
      </c>
      <c r="D9" s="208" t="s">
        <v>144</v>
      </c>
      <c r="E9" s="31" t="s">
        <v>1524</v>
      </c>
      <c r="F9" s="55"/>
      <c r="G9" s="60"/>
      <c r="H9" s="64"/>
      <c r="I9" s="60"/>
      <c r="J9" s="60"/>
    </row>
    <row r="10" spans="1:10" s="46" customFormat="1" ht="25" x14ac:dyDescent="0.3">
      <c r="A10" s="79" t="s">
        <v>1523</v>
      </c>
      <c r="B10" s="208" t="s">
        <v>144</v>
      </c>
      <c r="C10" s="32" t="s">
        <v>144</v>
      </c>
      <c r="D10" s="208" t="s">
        <v>144</v>
      </c>
      <c r="E10" s="31" t="s">
        <v>222</v>
      </c>
      <c r="F10" s="55"/>
      <c r="G10" s="60"/>
      <c r="H10" s="64"/>
      <c r="I10" s="60"/>
      <c r="J10" s="60"/>
    </row>
    <row r="11" spans="1:10" s="46" customFormat="1" ht="13" x14ac:dyDescent="0.3">
      <c r="A11" s="40" t="s">
        <v>547</v>
      </c>
      <c r="B11" s="208" t="s">
        <v>646</v>
      </c>
      <c r="C11" s="32" t="s">
        <v>646</v>
      </c>
      <c r="D11" s="208" t="s">
        <v>646</v>
      </c>
      <c r="E11" s="31"/>
      <c r="F11" s="55"/>
      <c r="G11" s="60"/>
      <c r="H11" s="64"/>
      <c r="I11" s="60"/>
      <c r="J11" s="60"/>
    </row>
    <row r="12" spans="1:10" s="46" customFormat="1" ht="25" x14ac:dyDescent="0.3">
      <c r="A12" s="79" t="s">
        <v>2709</v>
      </c>
      <c r="B12" s="208" t="s">
        <v>646</v>
      </c>
      <c r="C12" s="32" t="s">
        <v>646</v>
      </c>
      <c r="D12" s="208" t="s">
        <v>646</v>
      </c>
      <c r="E12" s="79" t="s">
        <v>2581</v>
      </c>
      <c r="F12" s="55"/>
      <c r="G12" s="60"/>
      <c r="H12" s="64"/>
      <c r="I12" s="60"/>
      <c r="J12" s="60"/>
    </row>
    <row r="13" spans="1:10" s="46" customFormat="1" ht="25" x14ac:dyDescent="0.3">
      <c r="A13" s="79" t="s">
        <v>1525</v>
      </c>
      <c r="B13" s="208" t="s">
        <v>646</v>
      </c>
      <c r="C13" s="32" t="s">
        <v>646</v>
      </c>
      <c r="D13" s="208" t="s">
        <v>646</v>
      </c>
      <c r="E13" s="79" t="s">
        <v>2582</v>
      </c>
      <c r="F13" s="55"/>
      <c r="G13" s="60"/>
      <c r="H13" s="64"/>
      <c r="I13" s="60"/>
      <c r="J13" s="60"/>
    </row>
    <row r="14" spans="1:10" s="46" customFormat="1" ht="25" x14ac:dyDescent="0.3">
      <c r="A14" s="79" t="s">
        <v>2710</v>
      </c>
      <c r="B14" s="208" t="s">
        <v>646</v>
      </c>
      <c r="C14" s="32" t="s">
        <v>646</v>
      </c>
      <c r="D14" s="208" t="s">
        <v>646</v>
      </c>
      <c r="E14" s="79" t="s">
        <v>2805</v>
      </c>
      <c r="F14" s="55"/>
      <c r="G14" s="60"/>
      <c r="H14" s="64"/>
      <c r="I14" s="60"/>
      <c r="J14" s="60"/>
    </row>
    <row r="15" spans="1:10" s="46" customFormat="1" ht="38" x14ac:dyDescent="0.3">
      <c r="A15" s="79" t="s">
        <v>2291</v>
      </c>
      <c r="B15" s="208" t="s">
        <v>646</v>
      </c>
      <c r="C15" s="32"/>
      <c r="D15" s="208"/>
      <c r="E15" s="79" t="s">
        <v>222</v>
      </c>
      <c r="F15" s="55"/>
      <c r="G15" s="60"/>
      <c r="H15" s="64"/>
      <c r="I15" s="60"/>
      <c r="J15" s="60"/>
    </row>
    <row r="16" spans="1:10" s="46" customFormat="1" ht="13" x14ac:dyDescent="0.3">
      <c r="A16" s="79" t="s">
        <v>491</v>
      </c>
      <c r="B16" s="208"/>
      <c r="C16" s="32" t="s">
        <v>646</v>
      </c>
      <c r="D16" s="208"/>
      <c r="E16" s="31" t="s">
        <v>232</v>
      </c>
      <c r="F16" s="55"/>
      <c r="G16" s="60"/>
      <c r="H16" s="64"/>
      <c r="I16" s="60"/>
      <c r="J16" s="60"/>
    </row>
    <row r="17" spans="1:10" s="46" customFormat="1" ht="13" x14ac:dyDescent="0.3">
      <c r="A17" s="79" t="s">
        <v>1526</v>
      </c>
      <c r="B17" s="208"/>
      <c r="C17" s="32"/>
      <c r="D17" s="208" t="s">
        <v>647</v>
      </c>
      <c r="E17" s="31" t="s">
        <v>397</v>
      </c>
      <c r="F17" s="55"/>
      <c r="G17" s="60"/>
      <c r="H17" s="64"/>
      <c r="I17" s="60"/>
      <c r="J17" s="60"/>
    </row>
    <row r="18" spans="1:10" ht="13" x14ac:dyDescent="0.3">
      <c r="A18" s="16" t="s">
        <v>1527</v>
      </c>
      <c r="B18" s="200" t="s">
        <v>646</v>
      </c>
      <c r="C18" s="2" t="s">
        <v>646</v>
      </c>
      <c r="D18" s="200" t="s">
        <v>646</v>
      </c>
      <c r="E18" s="2"/>
      <c r="F18" s="55"/>
      <c r="G18" s="60"/>
      <c r="H18" s="64"/>
    </row>
    <row r="19" spans="1:10" ht="13" x14ac:dyDescent="0.3">
      <c r="A19" s="79" t="s">
        <v>1863</v>
      </c>
      <c r="B19" s="200" t="s">
        <v>646</v>
      </c>
      <c r="C19" s="2" t="s">
        <v>646</v>
      </c>
      <c r="D19" s="200" t="s">
        <v>646</v>
      </c>
      <c r="E19" s="2" t="s">
        <v>1528</v>
      </c>
      <c r="F19" s="55"/>
      <c r="G19" s="60"/>
      <c r="H19" s="64"/>
    </row>
    <row r="20" spans="1:10" ht="25" x14ac:dyDescent="0.3">
      <c r="A20" s="79" t="s">
        <v>1529</v>
      </c>
      <c r="B20" s="200" t="s">
        <v>646</v>
      </c>
      <c r="C20" s="2" t="s">
        <v>646</v>
      </c>
      <c r="D20" s="200" t="s">
        <v>646</v>
      </c>
      <c r="E20" s="2" t="s">
        <v>154</v>
      </c>
      <c r="F20" s="55"/>
      <c r="G20" s="60"/>
      <c r="H20" s="64"/>
    </row>
    <row r="21" spans="1:10" ht="13" x14ac:dyDescent="0.3">
      <c r="A21" s="79" t="s">
        <v>1272</v>
      </c>
      <c r="B21" s="200" t="s">
        <v>646</v>
      </c>
      <c r="C21" s="2" t="s">
        <v>646</v>
      </c>
      <c r="D21" s="200" t="s">
        <v>646</v>
      </c>
      <c r="E21" s="16" t="s">
        <v>1275</v>
      </c>
      <c r="F21" s="55"/>
      <c r="G21" s="60"/>
      <c r="H21" s="64"/>
    </row>
    <row r="22" spans="1:10" ht="13" x14ac:dyDescent="0.3">
      <c r="A22" s="79" t="s">
        <v>2115</v>
      </c>
      <c r="B22" s="200" t="s">
        <v>646</v>
      </c>
      <c r="C22" s="2" t="s">
        <v>646</v>
      </c>
      <c r="D22" s="200" t="s">
        <v>646</v>
      </c>
      <c r="E22" s="16" t="s">
        <v>2568</v>
      </c>
      <c r="F22" s="55"/>
      <c r="G22" s="60"/>
      <c r="H22" s="64"/>
    </row>
    <row r="23" spans="1:10" ht="13" x14ac:dyDescent="0.3">
      <c r="A23" s="79" t="s">
        <v>1273</v>
      </c>
      <c r="B23" s="200" t="s">
        <v>646</v>
      </c>
      <c r="C23" s="2" t="s">
        <v>646</v>
      </c>
      <c r="D23" s="200" t="s">
        <v>646</v>
      </c>
      <c r="E23" s="2"/>
      <c r="F23" s="55"/>
      <c r="G23" s="60"/>
      <c r="H23" s="64"/>
    </row>
    <row r="24" spans="1:10" ht="13" x14ac:dyDescent="0.3">
      <c r="A24" s="79" t="s">
        <v>1274</v>
      </c>
      <c r="B24" s="200" t="s">
        <v>646</v>
      </c>
      <c r="C24" s="2" t="s">
        <v>646</v>
      </c>
      <c r="D24" s="200" t="s">
        <v>646</v>
      </c>
      <c r="E24" s="2"/>
      <c r="F24" s="55"/>
      <c r="G24" s="60"/>
      <c r="H24" s="64"/>
    </row>
    <row r="25" spans="1:10" ht="13" x14ac:dyDescent="0.3">
      <c r="A25" s="16" t="s">
        <v>69</v>
      </c>
      <c r="B25" s="200" t="s">
        <v>646</v>
      </c>
      <c r="C25" s="2" t="s">
        <v>646</v>
      </c>
      <c r="D25" s="200" t="s">
        <v>646</v>
      </c>
      <c r="E25" s="16" t="s">
        <v>70</v>
      </c>
      <c r="F25" s="55"/>
      <c r="G25" s="95"/>
      <c r="H25" s="64"/>
    </row>
    <row r="26" spans="1:10" ht="25.5" x14ac:dyDescent="0.3">
      <c r="A26" s="79" t="s">
        <v>2116</v>
      </c>
      <c r="B26" s="200" t="s">
        <v>646</v>
      </c>
      <c r="C26" s="2" t="s">
        <v>646</v>
      </c>
      <c r="D26" s="200" t="s">
        <v>646</v>
      </c>
      <c r="E26" s="16" t="s">
        <v>2583</v>
      </c>
      <c r="F26" s="55"/>
      <c r="G26" s="60"/>
      <c r="H26" s="64"/>
    </row>
    <row r="27" spans="1:10" ht="13" x14ac:dyDescent="0.3">
      <c r="A27" s="79" t="s">
        <v>1276</v>
      </c>
      <c r="B27" s="200" t="s">
        <v>646</v>
      </c>
      <c r="C27" s="2" t="s">
        <v>646</v>
      </c>
      <c r="D27" s="200" t="s">
        <v>646</v>
      </c>
      <c r="E27" s="2"/>
      <c r="F27" s="55"/>
      <c r="G27" s="60"/>
      <c r="H27" s="64"/>
    </row>
    <row r="28" spans="1:10" ht="25" x14ac:dyDescent="0.3">
      <c r="A28" s="79" t="s">
        <v>2117</v>
      </c>
      <c r="B28" s="200" t="s">
        <v>646</v>
      </c>
      <c r="C28" s="2" t="s">
        <v>646</v>
      </c>
      <c r="D28" s="200" t="s">
        <v>646</v>
      </c>
      <c r="E28" s="16" t="s">
        <v>2584</v>
      </c>
      <c r="F28" s="55"/>
      <c r="G28" s="60"/>
      <c r="H28" s="64"/>
    </row>
    <row r="29" spans="1:10" ht="13" x14ac:dyDescent="0.3">
      <c r="A29" s="79" t="s">
        <v>1278</v>
      </c>
      <c r="B29" s="200" t="s">
        <v>646</v>
      </c>
      <c r="C29" s="2" t="s">
        <v>646</v>
      </c>
      <c r="D29" s="200" t="s">
        <v>646</v>
      </c>
      <c r="E29" s="16" t="s">
        <v>586</v>
      </c>
      <c r="F29" s="55"/>
      <c r="G29" s="60"/>
      <c r="H29" s="64"/>
    </row>
    <row r="30" spans="1:10" ht="25" x14ac:dyDescent="0.3">
      <c r="A30" s="79" t="s">
        <v>1277</v>
      </c>
      <c r="B30" s="200" t="s">
        <v>646</v>
      </c>
      <c r="C30" s="2" t="s">
        <v>646</v>
      </c>
      <c r="D30" s="200" t="s">
        <v>646</v>
      </c>
      <c r="E30" s="2"/>
      <c r="F30" s="55"/>
      <c r="G30" s="60"/>
      <c r="H30" s="64"/>
    </row>
    <row r="31" spans="1:10" ht="25" x14ac:dyDescent="0.3">
      <c r="A31" s="79" t="s">
        <v>1530</v>
      </c>
      <c r="B31" s="200" t="s">
        <v>646</v>
      </c>
      <c r="C31" s="2" t="s">
        <v>646</v>
      </c>
      <c r="D31" s="200" t="s">
        <v>646</v>
      </c>
      <c r="E31" s="16" t="s">
        <v>1531</v>
      </c>
      <c r="F31" s="55"/>
      <c r="G31" s="95"/>
      <c r="H31" s="64"/>
    </row>
    <row r="32" spans="1:10" ht="25" x14ac:dyDescent="0.3">
      <c r="A32" s="79" t="s">
        <v>1532</v>
      </c>
      <c r="B32" s="200" t="s">
        <v>646</v>
      </c>
      <c r="C32" s="2" t="s">
        <v>646</v>
      </c>
      <c r="D32" s="200" t="s">
        <v>646</v>
      </c>
      <c r="E32" s="16" t="s">
        <v>886</v>
      </c>
      <c r="F32" s="55"/>
      <c r="G32" s="60"/>
      <c r="H32" s="64"/>
    </row>
    <row r="33" spans="1:8" ht="25" x14ac:dyDescent="0.3">
      <c r="A33" s="105" t="s">
        <v>2593</v>
      </c>
      <c r="B33" s="209" t="s">
        <v>646</v>
      </c>
      <c r="C33" s="4" t="s">
        <v>646</v>
      </c>
      <c r="D33" s="209" t="s">
        <v>646</v>
      </c>
      <c r="E33" s="17" t="s">
        <v>101</v>
      </c>
      <c r="F33" s="91"/>
      <c r="G33" s="95"/>
      <c r="H33" s="64"/>
    </row>
    <row r="34" spans="1:8" ht="13" x14ac:dyDescent="0.25">
      <c r="G34" s="60"/>
    </row>
    <row r="35" spans="1:8" ht="13" x14ac:dyDescent="0.25">
      <c r="G35" s="60"/>
    </row>
    <row r="36" spans="1:8" ht="13" x14ac:dyDescent="0.25">
      <c r="G36" s="60"/>
    </row>
    <row r="37" spans="1:8" ht="13" x14ac:dyDescent="0.25">
      <c r="G37" s="60"/>
    </row>
    <row r="38" spans="1:8" ht="13" x14ac:dyDescent="0.25">
      <c r="G38" s="60"/>
    </row>
    <row r="39" spans="1:8" ht="13" x14ac:dyDescent="0.25">
      <c r="G39" s="60"/>
    </row>
    <row r="40" spans="1:8" ht="13" x14ac:dyDescent="0.25">
      <c r="G40" s="60"/>
    </row>
    <row r="41" spans="1:8" ht="13" x14ac:dyDescent="0.25">
      <c r="G41" s="60"/>
    </row>
    <row r="42" spans="1:8" ht="13" x14ac:dyDescent="0.25">
      <c r="G42" s="60"/>
    </row>
    <row r="43" spans="1:8" ht="13" x14ac:dyDescent="0.25">
      <c r="G43" s="60"/>
    </row>
    <row r="44" spans="1:8" ht="13" x14ac:dyDescent="0.25">
      <c r="G44" s="60"/>
    </row>
    <row r="45" spans="1:8" ht="13" x14ac:dyDescent="0.25">
      <c r="G45" s="60"/>
    </row>
    <row r="46" spans="1:8" ht="13" x14ac:dyDescent="0.25">
      <c r="G46" s="60"/>
    </row>
    <row r="47" spans="1:8" ht="13" x14ac:dyDescent="0.25">
      <c r="G47" s="60"/>
    </row>
    <row r="48" spans="1:8" ht="13" x14ac:dyDescent="0.25">
      <c r="G48" s="60"/>
    </row>
    <row r="49" spans="7:7" ht="13" x14ac:dyDescent="0.25">
      <c r="G49" s="60"/>
    </row>
    <row r="50" spans="7:7" ht="13" x14ac:dyDescent="0.25">
      <c r="G50" s="60"/>
    </row>
    <row r="51" spans="7:7" ht="13" x14ac:dyDescent="0.25">
      <c r="G51" s="60"/>
    </row>
    <row r="52" spans="7:7" ht="13" x14ac:dyDescent="0.25">
      <c r="G52" s="60"/>
    </row>
    <row r="53" spans="7:7" ht="13" x14ac:dyDescent="0.25">
      <c r="G53" s="60"/>
    </row>
    <row r="54" spans="7:7" ht="13" x14ac:dyDescent="0.25">
      <c r="G54" s="60"/>
    </row>
    <row r="55" spans="7:7" ht="13" x14ac:dyDescent="0.25">
      <c r="G55" s="60"/>
    </row>
    <row r="56" spans="7:7" ht="13" x14ac:dyDescent="0.25">
      <c r="G56" s="60"/>
    </row>
    <row r="57" spans="7:7" ht="13" x14ac:dyDescent="0.25">
      <c r="G57" s="60"/>
    </row>
    <row r="58" spans="7:7" ht="13" x14ac:dyDescent="0.25">
      <c r="G58" s="60"/>
    </row>
    <row r="59" spans="7:7" ht="13" x14ac:dyDescent="0.25">
      <c r="G59" s="60"/>
    </row>
    <row r="60" spans="7:7" ht="13" x14ac:dyDescent="0.25">
      <c r="G60" s="60"/>
    </row>
    <row r="61" spans="7:7" ht="13" x14ac:dyDescent="0.25">
      <c r="G61" s="60"/>
    </row>
    <row r="62" spans="7:7" ht="13" x14ac:dyDescent="0.25">
      <c r="G62" s="60"/>
    </row>
    <row r="63" spans="7:7" ht="13" x14ac:dyDescent="0.25">
      <c r="G63" s="60"/>
    </row>
    <row r="64" spans="7:7" ht="13" x14ac:dyDescent="0.25">
      <c r="G64" s="60"/>
    </row>
    <row r="65" spans="7:7" ht="13" x14ac:dyDescent="0.25">
      <c r="G65" s="60"/>
    </row>
    <row r="66" spans="7:7" ht="13" x14ac:dyDescent="0.25">
      <c r="G66" s="60"/>
    </row>
    <row r="67" spans="7:7" ht="13" x14ac:dyDescent="0.25">
      <c r="G67" s="60"/>
    </row>
    <row r="68" spans="7:7" ht="13" x14ac:dyDescent="0.25">
      <c r="G68" s="60"/>
    </row>
    <row r="69" spans="7:7" ht="13" x14ac:dyDescent="0.25">
      <c r="G69" s="60"/>
    </row>
    <row r="70" spans="7:7" ht="13" x14ac:dyDescent="0.25">
      <c r="G70" s="60"/>
    </row>
    <row r="71" spans="7:7" ht="13" x14ac:dyDescent="0.25">
      <c r="G71" s="60"/>
    </row>
    <row r="72" spans="7:7" ht="13" x14ac:dyDescent="0.25">
      <c r="G72" s="60"/>
    </row>
    <row r="73" spans="7:7" ht="13" x14ac:dyDescent="0.25">
      <c r="G73" s="60"/>
    </row>
    <row r="74" spans="7:7" ht="13" x14ac:dyDescent="0.25">
      <c r="G74" s="60"/>
    </row>
    <row r="75" spans="7:7" ht="13" x14ac:dyDescent="0.25">
      <c r="G75" s="60"/>
    </row>
    <row r="76" spans="7:7" ht="13" x14ac:dyDescent="0.25">
      <c r="G76" s="60"/>
    </row>
    <row r="77" spans="7:7" ht="13" x14ac:dyDescent="0.25">
      <c r="G77" s="60"/>
    </row>
    <row r="78" spans="7:7" ht="13" x14ac:dyDescent="0.25">
      <c r="G78" s="60"/>
    </row>
    <row r="79" spans="7:7" ht="13" x14ac:dyDescent="0.25">
      <c r="G79" s="60"/>
    </row>
    <row r="80" spans="7:7" ht="13" x14ac:dyDescent="0.25">
      <c r="G80" s="60"/>
    </row>
    <row r="81" spans="7:7" ht="13" x14ac:dyDescent="0.25">
      <c r="G81" s="60"/>
    </row>
    <row r="82" spans="7:7" ht="13" x14ac:dyDescent="0.25">
      <c r="G82" s="60"/>
    </row>
    <row r="83" spans="7:7" ht="13" x14ac:dyDescent="0.25">
      <c r="G83" s="60"/>
    </row>
    <row r="84" spans="7:7" ht="13" x14ac:dyDescent="0.25">
      <c r="G84" s="60"/>
    </row>
    <row r="85" spans="7:7" ht="13" x14ac:dyDescent="0.25">
      <c r="G85" s="60"/>
    </row>
    <row r="86" spans="7:7" ht="13" x14ac:dyDescent="0.25">
      <c r="G86" s="60"/>
    </row>
    <row r="87" spans="7:7" ht="13" x14ac:dyDescent="0.25">
      <c r="G87" s="60"/>
    </row>
    <row r="88" spans="7:7" ht="13" x14ac:dyDescent="0.25">
      <c r="G88" s="60"/>
    </row>
    <row r="89" spans="7:7" ht="13" x14ac:dyDescent="0.25">
      <c r="G89" s="60"/>
    </row>
  </sheetData>
  <sheetProtection algorithmName="SHA-512" hashValue="pkRHSCCNpAhVW5Pjlvbj88G+dwPxQvaJH597ieu0qNCu1fwdjnbw6k1GjpmUGEGb9Y93LzFRL0ZIGD4fmf2kjw==" saltValue="B1476kNFLIZZ1BUIDwqHXw==" spinCount="100000" sheet="1" objects="1" scenarios="1" autoFilter="0"/>
  <autoFilter ref="B5:G33" xr:uid="{00000000-0009-0000-0000-00000F000000}"/>
  <customSheetViews>
    <customSheetView guid="{33D191C9-AE75-45EC-B301-B583C3381734}" showGridLines="0" fitToPage="1" printArea="1" showAutoFilter="1">
      <pane ySplit="5" topLeftCell="A27" activePane="bottomLeft" state="frozen"/>
      <selection pane="bottomLeft"/>
      <pageMargins left="0.75" right="0.75" top="1" bottom="1" header="0.5" footer="0.5"/>
      <pageSetup paperSize="9" scale="80" fitToHeight="100" orientation="landscape" r:id="rId1"/>
      <headerFooter alignWithMargins="0"/>
      <autoFilter ref="B1:G1" xr:uid="{21E98144-6283-4A09-ABCC-498A21A555A4}"/>
    </customSheetView>
  </customSheetViews>
  <mergeCells count="1">
    <mergeCell ref="B4:F4"/>
  </mergeCells>
  <phoneticPr fontId="2" type="noConversion"/>
  <dataValidations count="1">
    <dataValidation type="list" allowBlank="1" showInputMessage="1" showErrorMessage="1" sqref="F6:F33" xr:uid="{00000000-0002-0000-0F00-000000000000}">
      <formula1>"Akkoord,Opmerking,N.v.t.,,"</formula1>
    </dataValidation>
  </dataValidations>
  <hyperlinks>
    <hyperlink ref="A11" location="'Niet in de balans opgen ver'!A4" display="PRESENTATIE" xr:uid="{00000000-0004-0000-0F00-000000000000}"/>
    <hyperlink ref="A5" location="'Niet in de balans opgen ver'!A2" display="NIET IN DE BALANS OPGENOMEN VERPLICHTINGEN" xr:uid="{00000000-0004-0000-0F00-000001000000}"/>
  </hyperlinks>
  <pageMargins left="0.75" right="0.75" top="1" bottom="1" header="0.5" footer="0.5"/>
  <pageSetup paperSize="9" scale="80"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6389"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16">
    <tabColor rgb="FF951B81"/>
    <pageSetUpPr fitToPage="1"/>
  </sheetPr>
  <dimension ref="A1:J168"/>
  <sheetViews>
    <sheetView showGridLines="0" zoomScaleNormal="100" workbookViewId="0">
      <pane ySplit="5" topLeftCell="A134" activePane="bottomLeft" state="frozen"/>
      <selection activeCell="A119" sqref="A119"/>
      <selection pane="bottomLeft" activeCell="A166" sqref="A166"/>
    </sheetView>
  </sheetViews>
  <sheetFormatPr defaultColWidth="9.1796875" defaultRowHeight="13" x14ac:dyDescent="0.25"/>
  <cols>
    <col min="1" max="1" width="62" style="6" customWidth="1"/>
    <col min="2" max="2" width="10.7265625" style="1" customWidth="1"/>
    <col min="3" max="3" width="9.81640625" style="1" customWidth="1"/>
    <col min="4" max="4" width="8.453125" style="1" customWidth="1"/>
    <col min="5" max="5" width="14" style="6" customWidth="1"/>
    <col min="6" max="6" width="10.7265625" style="58" customWidth="1"/>
    <col min="7" max="7" width="71.5429687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6" t="str">
        <f>CONCATENATE("Klant en boekjaar: ",Klantnummer,"; ",Naam_klant,";  ",Boekjaar)</f>
        <v xml:space="preserve">Klant en boekjaar: ; ;  </v>
      </c>
      <c r="C4" s="255"/>
      <c r="D4" s="255"/>
      <c r="E4" s="255"/>
      <c r="F4" s="255"/>
    </row>
    <row r="5" spans="1:10" ht="15.5" x14ac:dyDescent="0.25">
      <c r="A5" s="214" t="s">
        <v>263</v>
      </c>
      <c r="B5" s="219" t="s">
        <v>642</v>
      </c>
      <c r="C5" s="219" t="s">
        <v>643</v>
      </c>
      <c r="D5" s="219" t="s">
        <v>644</v>
      </c>
      <c r="E5" s="220" t="s">
        <v>645</v>
      </c>
      <c r="F5" s="219" t="s">
        <v>54</v>
      </c>
      <c r="G5" s="199" t="s">
        <v>2858</v>
      </c>
    </row>
    <row r="6" spans="1:10" s="46" customFormat="1" x14ac:dyDescent="0.3">
      <c r="A6" s="40" t="s">
        <v>546</v>
      </c>
      <c r="B6" s="208" t="s">
        <v>144</v>
      </c>
      <c r="C6" s="32" t="s">
        <v>144</v>
      </c>
      <c r="D6" s="208" t="s">
        <v>144</v>
      </c>
      <c r="E6" s="41"/>
      <c r="F6" s="55"/>
      <c r="G6" s="60"/>
      <c r="H6" s="64" t="s">
        <v>2182</v>
      </c>
      <c r="I6" s="60"/>
      <c r="J6" s="60"/>
    </row>
    <row r="7" spans="1:10" x14ac:dyDescent="0.3">
      <c r="A7" s="16" t="s">
        <v>1533</v>
      </c>
      <c r="B7" s="200" t="s">
        <v>646</v>
      </c>
      <c r="C7" s="2" t="s">
        <v>646</v>
      </c>
      <c r="D7" s="200" t="s">
        <v>843</v>
      </c>
      <c r="E7" s="16" t="s">
        <v>1753</v>
      </c>
      <c r="F7" s="55"/>
      <c r="H7" s="64" t="s">
        <v>2182</v>
      </c>
    </row>
    <row r="8" spans="1:10" x14ac:dyDescent="0.3">
      <c r="A8" s="16" t="s">
        <v>1534</v>
      </c>
      <c r="B8" s="200" t="s">
        <v>646</v>
      </c>
      <c r="C8" s="2" t="s">
        <v>646</v>
      </c>
      <c r="D8" s="200" t="s">
        <v>843</v>
      </c>
      <c r="E8" s="2"/>
      <c r="F8" s="55"/>
      <c r="H8" s="64" t="s">
        <v>2182</v>
      </c>
    </row>
    <row r="9" spans="1:10" x14ac:dyDescent="0.3">
      <c r="A9" s="16" t="s">
        <v>1535</v>
      </c>
      <c r="B9" s="200" t="s">
        <v>646</v>
      </c>
      <c r="C9" s="2" t="s">
        <v>646</v>
      </c>
      <c r="D9" s="200" t="s">
        <v>843</v>
      </c>
      <c r="E9" s="11"/>
      <c r="F9" s="55"/>
      <c r="G9" s="95"/>
      <c r="H9" s="64" t="s">
        <v>2182</v>
      </c>
    </row>
    <row r="10" spans="1:10" x14ac:dyDescent="0.3">
      <c r="A10" s="16" t="s">
        <v>1536</v>
      </c>
      <c r="B10" s="200" t="s">
        <v>646</v>
      </c>
      <c r="C10" s="2" t="s">
        <v>646</v>
      </c>
      <c r="D10" s="200" t="s">
        <v>843</v>
      </c>
      <c r="E10" s="11"/>
      <c r="F10" s="55"/>
      <c r="H10" s="64" t="s">
        <v>2182</v>
      </c>
    </row>
    <row r="11" spans="1:10" x14ac:dyDescent="0.3">
      <c r="A11" s="10" t="s">
        <v>547</v>
      </c>
      <c r="B11" s="200" t="s">
        <v>646</v>
      </c>
      <c r="C11" s="2" t="s">
        <v>646</v>
      </c>
      <c r="D11" s="200" t="s">
        <v>843</v>
      </c>
      <c r="E11" s="11"/>
      <c r="F11" s="55"/>
      <c r="H11" s="64" t="s">
        <v>2182</v>
      </c>
    </row>
    <row r="12" spans="1:10" ht="25" x14ac:dyDescent="0.3">
      <c r="A12" s="16" t="s">
        <v>1002</v>
      </c>
      <c r="B12" s="200" t="s">
        <v>646</v>
      </c>
      <c r="C12" s="2" t="s">
        <v>646</v>
      </c>
      <c r="D12" s="200" t="s">
        <v>843</v>
      </c>
      <c r="E12" s="10" t="s">
        <v>272</v>
      </c>
      <c r="F12" s="55"/>
      <c r="H12" s="64" t="s">
        <v>2182</v>
      </c>
    </row>
    <row r="13" spans="1:10" x14ac:dyDescent="0.3">
      <c r="A13" s="16" t="s">
        <v>1003</v>
      </c>
      <c r="B13" s="200" t="s">
        <v>646</v>
      </c>
      <c r="C13" s="2" t="s">
        <v>646</v>
      </c>
      <c r="D13" s="200" t="s">
        <v>843</v>
      </c>
      <c r="E13" s="11"/>
      <c r="F13" s="55"/>
      <c r="H13" s="64" t="s">
        <v>2182</v>
      </c>
    </row>
    <row r="14" spans="1:10" x14ac:dyDescent="0.3">
      <c r="A14" s="16" t="s">
        <v>1004</v>
      </c>
      <c r="B14" s="200" t="s">
        <v>646</v>
      </c>
      <c r="C14" s="2" t="s">
        <v>646</v>
      </c>
      <c r="D14" s="200" t="s">
        <v>843</v>
      </c>
      <c r="E14" s="11"/>
      <c r="F14" s="55"/>
      <c r="H14" s="64" t="s">
        <v>2182</v>
      </c>
    </row>
    <row r="15" spans="1:10" x14ac:dyDescent="0.3">
      <c r="A15" s="16" t="s">
        <v>599</v>
      </c>
      <c r="B15" s="200" t="s">
        <v>145</v>
      </c>
      <c r="C15" s="2" t="s">
        <v>145</v>
      </c>
      <c r="D15" s="200" t="s">
        <v>145</v>
      </c>
      <c r="E15" s="11"/>
      <c r="F15" s="55"/>
      <c r="H15" s="64" t="s">
        <v>2182</v>
      </c>
    </row>
    <row r="16" spans="1:10" ht="37.5" x14ac:dyDescent="0.3">
      <c r="A16" s="10" t="s">
        <v>289</v>
      </c>
      <c r="B16" s="200" t="s">
        <v>145</v>
      </c>
      <c r="C16" s="2" t="s">
        <v>145</v>
      </c>
      <c r="D16" s="200" t="s">
        <v>145</v>
      </c>
      <c r="E16" s="11"/>
      <c r="F16" s="55"/>
      <c r="H16" s="64" t="s">
        <v>2182</v>
      </c>
    </row>
    <row r="17" spans="1:10" s="46" customFormat="1" ht="25" x14ac:dyDescent="0.3">
      <c r="A17" s="34" t="s">
        <v>195</v>
      </c>
      <c r="B17" s="200" t="s">
        <v>144</v>
      </c>
      <c r="C17" s="2" t="s">
        <v>144</v>
      </c>
      <c r="D17" s="200" t="s">
        <v>144</v>
      </c>
      <c r="E17" s="16" t="s">
        <v>2585</v>
      </c>
      <c r="F17" s="55"/>
      <c r="G17" s="60"/>
      <c r="H17" s="64" t="s">
        <v>2182</v>
      </c>
      <c r="I17" s="60"/>
      <c r="J17" s="60"/>
    </row>
    <row r="18" spans="1:10" x14ac:dyDescent="0.3">
      <c r="A18" s="10" t="s">
        <v>546</v>
      </c>
      <c r="B18" s="200" t="s">
        <v>144</v>
      </c>
      <c r="C18" s="2" t="s">
        <v>144</v>
      </c>
      <c r="D18" s="200" t="s">
        <v>144</v>
      </c>
      <c r="E18" s="11"/>
      <c r="F18" s="55"/>
      <c r="H18" s="64" t="s">
        <v>2182</v>
      </c>
    </row>
    <row r="19" spans="1:10" ht="100" x14ac:dyDescent="0.3">
      <c r="A19" s="16" t="s">
        <v>2711</v>
      </c>
      <c r="B19" s="200" t="s">
        <v>144</v>
      </c>
      <c r="C19" s="2" t="s">
        <v>144</v>
      </c>
      <c r="D19" s="200" t="s">
        <v>144</v>
      </c>
      <c r="E19" s="10" t="s">
        <v>274</v>
      </c>
      <c r="F19" s="55"/>
      <c r="H19" s="64" t="s">
        <v>2182</v>
      </c>
    </row>
    <row r="20" spans="1:10" ht="50.5" x14ac:dyDescent="0.3">
      <c r="A20" s="16" t="s">
        <v>2416</v>
      </c>
      <c r="B20" s="200" t="s">
        <v>144</v>
      </c>
      <c r="C20" s="2" t="s">
        <v>144</v>
      </c>
      <c r="D20" s="200" t="s">
        <v>144</v>
      </c>
      <c r="E20" s="16" t="s">
        <v>2292</v>
      </c>
      <c r="F20" s="55"/>
      <c r="H20" s="64"/>
    </row>
    <row r="21" spans="1:10" ht="75" x14ac:dyDescent="0.3">
      <c r="A21" s="16" t="s">
        <v>2928</v>
      </c>
      <c r="B21" s="200" t="s">
        <v>144</v>
      </c>
      <c r="C21" s="2" t="s">
        <v>144</v>
      </c>
      <c r="D21" s="200" t="s">
        <v>144</v>
      </c>
      <c r="E21" s="16" t="s">
        <v>2418</v>
      </c>
      <c r="F21" s="55"/>
      <c r="G21" s="60" t="s">
        <v>1856</v>
      </c>
      <c r="H21" s="64"/>
    </row>
    <row r="22" spans="1:10" ht="25" x14ac:dyDescent="0.3">
      <c r="A22" s="16" t="s">
        <v>2712</v>
      </c>
      <c r="B22" s="200" t="s">
        <v>144</v>
      </c>
      <c r="C22" s="2" t="s">
        <v>144</v>
      </c>
      <c r="D22" s="200" t="s">
        <v>144</v>
      </c>
      <c r="E22" s="16" t="s">
        <v>2713</v>
      </c>
      <c r="F22" s="55"/>
      <c r="H22" s="64"/>
    </row>
    <row r="23" spans="1:10" x14ac:dyDescent="0.3">
      <c r="A23" s="148" t="s">
        <v>2419</v>
      </c>
      <c r="B23" s="200" t="s">
        <v>144</v>
      </c>
      <c r="C23" s="2" t="s">
        <v>144</v>
      </c>
      <c r="D23" s="200" t="s">
        <v>144</v>
      </c>
      <c r="E23" s="16"/>
      <c r="F23" s="55"/>
      <c r="H23" s="64"/>
    </row>
    <row r="24" spans="1:10" ht="25" x14ac:dyDescent="0.3">
      <c r="A24" s="16" t="s">
        <v>2929</v>
      </c>
      <c r="B24" s="200" t="s">
        <v>144</v>
      </c>
      <c r="C24" s="2" t="s">
        <v>144</v>
      </c>
      <c r="D24" s="200" t="s">
        <v>144</v>
      </c>
      <c r="E24" s="16" t="s">
        <v>2420</v>
      </c>
      <c r="F24" s="55"/>
      <c r="G24" s="60" t="s">
        <v>1856</v>
      </c>
      <c r="H24" s="64"/>
    </row>
    <row r="25" spans="1:10" ht="38.5" customHeight="1" x14ac:dyDescent="0.3">
      <c r="A25" s="16" t="s">
        <v>2930</v>
      </c>
      <c r="B25" s="200" t="s">
        <v>144</v>
      </c>
      <c r="C25" s="2" t="s">
        <v>144</v>
      </c>
      <c r="D25" s="200" t="s">
        <v>144</v>
      </c>
      <c r="E25" s="16" t="s">
        <v>2421</v>
      </c>
      <c r="F25" s="55"/>
      <c r="G25" s="60" t="s">
        <v>1856</v>
      </c>
      <c r="H25" s="64"/>
    </row>
    <row r="26" spans="1:10" ht="25" x14ac:dyDescent="0.3">
      <c r="A26" s="16" t="s">
        <v>2931</v>
      </c>
      <c r="B26" s="200" t="s">
        <v>144</v>
      </c>
      <c r="C26" s="2" t="s">
        <v>144</v>
      </c>
      <c r="D26" s="200" t="s">
        <v>144</v>
      </c>
      <c r="E26" s="16" t="s">
        <v>2422</v>
      </c>
      <c r="F26" s="55"/>
      <c r="G26" s="60" t="s">
        <v>1856</v>
      </c>
      <c r="H26" s="64"/>
    </row>
    <row r="27" spans="1:10" ht="40" customHeight="1" x14ac:dyDescent="0.3">
      <c r="A27" s="16" t="s">
        <v>2932</v>
      </c>
      <c r="B27" s="200" t="s">
        <v>144</v>
      </c>
      <c r="C27" s="2" t="s">
        <v>144</v>
      </c>
      <c r="D27" s="200" t="s">
        <v>144</v>
      </c>
      <c r="E27" s="16" t="s">
        <v>2423</v>
      </c>
      <c r="F27" s="55"/>
      <c r="G27" s="60" t="s">
        <v>1856</v>
      </c>
      <c r="H27" s="64"/>
    </row>
    <row r="28" spans="1:10" ht="37.5" x14ac:dyDescent="0.3">
      <c r="A28" s="16" t="s">
        <v>2424</v>
      </c>
      <c r="B28" s="200" t="s">
        <v>144</v>
      </c>
      <c r="C28" s="2" t="s">
        <v>144</v>
      </c>
      <c r="D28" s="200" t="s">
        <v>144</v>
      </c>
      <c r="E28" s="16" t="s">
        <v>55</v>
      </c>
      <c r="F28" s="55"/>
      <c r="H28" s="64"/>
    </row>
    <row r="29" spans="1:10" ht="25" x14ac:dyDescent="0.3">
      <c r="A29" s="79" t="s">
        <v>2425</v>
      </c>
      <c r="B29" s="200" t="s">
        <v>144</v>
      </c>
      <c r="C29" s="2" t="s">
        <v>144</v>
      </c>
      <c r="D29" s="200" t="s">
        <v>144</v>
      </c>
      <c r="E29" s="16"/>
      <c r="F29" s="55"/>
      <c r="H29" s="64"/>
    </row>
    <row r="30" spans="1:10" x14ac:dyDescent="0.3">
      <c r="A30" s="79" t="s">
        <v>2426</v>
      </c>
      <c r="B30" s="200" t="s">
        <v>144</v>
      </c>
      <c r="C30" s="2" t="s">
        <v>144</v>
      </c>
      <c r="D30" s="200" t="s">
        <v>144</v>
      </c>
      <c r="E30" s="16"/>
      <c r="F30" s="55"/>
      <c r="H30" s="64"/>
    </row>
    <row r="31" spans="1:10" x14ac:dyDescent="0.3">
      <c r="A31" s="79" t="s">
        <v>2427</v>
      </c>
      <c r="B31" s="200" t="s">
        <v>144</v>
      </c>
      <c r="C31" s="2" t="s">
        <v>144</v>
      </c>
      <c r="D31" s="200" t="s">
        <v>144</v>
      </c>
      <c r="E31" s="16"/>
      <c r="F31" s="55"/>
      <c r="H31" s="64"/>
    </row>
    <row r="32" spans="1:10" ht="25" x14ac:dyDescent="0.3">
      <c r="A32" s="79" t="s">
        <v>2428</v>
      </c>
      <c r="B32" s="200" t="s">
        <v>144</v>
      </c>
      <c r="C32" s="2" t="s">
        <v>144</v>
      </c>
      <c r="D32" s="200" t="s">
        <v>144</v>
      </c>
      <c r="E32" s="16"/>
      <c r="F32" s="55"/>
      <c r="H32" s="64"/>
    </row>
    <row r="33" spans="1:8" ht="25" x14ac:dyDescent="0.3">
      <c r="A33" s="79" t="s">
        <v>2429</v>
      </c>
      <c r="B33" s="200" t="s">
        <v>144</v>
      </c>
      <c r="C33" s="2" t="s">
        <v>144</v>
      </c>
      <c r="D33" s="200" t="s">
        <v>144</v>
      </c>
      <c r="E33" s="16"/>
      <c r="F33" s="55"/>
      <c r="H33" s="64"/>
    </row>
    <row r="34" spans="1:8" ht="37.5" x14ac:dyDescent="0.3">
      <c r="A34" s="16" t="s">
        <v>2430</v>
      </c>
      <c r="B34" s="200" t="s">
        <v>144</v>
      </c>
      <c r="C34" s="2" t="s">
        <v>144</v>
      </c>
      <c r="D34" s="200" t="s">
        <v>144</v>
      </c>
      <c r="E34" s="16" t="s">
        <v>2431</v>
      </c>
      <c r="F34" s="55"/>
      <c r="H34" s="64"/>
    </row>
    <row r="35" spans="1:8" ht="25" x14ac:dyDescent="0.3">
      <c r="A35" s="79" t="s">
        <v>2432</v>
      </c>
      <c r="B35" s="200" t="s">
        <v>144</v>
      </c>
      <c r="C35" s="2" t="s">
        <v>144</v>
      </c>
      <c r="D35" s="200" t="s">
        <v>144</v>
      </c>
      <c r="E35" s="16"/>
      <c r="F35" s="55"/>
      <c r="H35" s="64"/>
    </row>
    <row r="36" spans="1:8" ht="25" x14ac:dyDescent="0.3">
      <c r="A36" s="79" t="s">
        <v>2428</v>
      </c>
      <c r="B36" s="200" t="s">
        <v>144</v>
      </c>
      <c r="C36" s="2" t="s">
        <v>144</v>
      </c>
      <c r="D36" s="200" t="s">
        <v>144</v>
      </c>
      <c r="E36" s="16"/>
      <c r="F36" s="55"/>
      <c r="H36" s="64"/>
    </row>
    <row r="37" spans="1:8" ht="25" x14ac:dyDescent="0.3">
      <c r="A37" s="79" t="s">
        <v>2433</v>
      </c>
      <c r="B37" s="200" t="s">
        <v>144</v>
      </c>
      <c r="C37" s="2" t="s">
        <v>144</v>
      </c>
      <c r="D37" s="200" t="s">
        <v>144</v>
      </c>
      <c r="E37" s="16"/>
      <c r="F37" s="55"/>
      <c r="H37" s="64"/>
    </row>
    <row r="38" spans="1:8" ht="25" x14ac:dyDescent="0.3">
      <c r="A38" s="79" t="s">
        <v>2429</v>
      </c>
      <c r="B38" s="200" t="s">
        <v>144</v>
      </c>
      <c r="C38" s="2" t="s">
        <v>144</v>
      </c>
      <c r="D38" s="200" t="s">
        <v>144</v>
      </c>
      <c r="E38" s="16"/>
      <c r="F38" s="55"/>
      <c r="H38" s="64"/>
    </row>
    <row r="39" spans="1:8" ht="50" x14ac:dyDescent="0.3">
      <c r="A39" s="16" t="s">
        <v>2933</v>
      </c>
      <c r="B39" s="200" t="s">
        <v>144</v>
      </c>
      <c r="C39" s="2" t="s">
        <v>144</v>
      </c>
      <c r="D39" s="200" t="s">
        <v>144</v>
      </c>
      <c r="E39" s="16" t="s">
        <v>2434</v>
      </c>
      <c r="F39" s="55"/>
      <c r="G39" s="60" t="s">
        <v>1856</v>
      </c>
      <c r="H39" s="64"/>
    </row>
    <row r="40" spans="1:8" ht="25" x14ac:dyDescent="0.3">
      <c r="A40" s="16" t="s">
        <v>2934</v>
      </c>
      <c r="B40" s="200" t="s">
        <v>144</v>
      </c>
      <c r="C40" s="2" t="s">
        <v>144</v>
      </c>
      <c r="D40" s="200" t="s">
        <v>144</v>
      </c>
      <c r="E40" s="16" t="s">
        <v>2435</v>
      </c>
      <c r="F40" s="55"/>
      <c r="G40" s="60" t="s">
        <v>1856</v>
      </c>
      <c r="H40" s="64"/>
    </row>
    <row r="41" spans="1:8" ht="25" x14ac:dyDescent="0.3">
      <c r="A41" s="16" t="s">
        <v>2436</v>
      </c>
      <c r="B41" s="200" t="s">
        <v>144</v>
      </c>
      <c r="C41" s="2" t="s">
        <v>144</v>
      </c>
      <c r="D41" s="200" t="s">
        <v>144</v>
      </c>
      <c r="E41" s="16" t="s">
        <v>2437</v>
      </c>
      <c r="F41" s="55"/>
      <c r="H41" s="64"/>
    </row>
    <row r="42" spans="1:8" x14ac:dyDescent="0.3">
      <c r="A42" s="35" t="s">
        <v>2417</v>
      </c>
      <c r="B42" s="200" t="s">
        <v>144</v>
      </c>
      <c r="C42" s="2" t="s">
        <v>144</v>
      </c>
      <c r="D42" s="200" t="s">
        <v>144</v>
      </c>
      <c r="E42" s="11"/>
      <c r="F42" s="55"/>
      <c r="H42" s="64" t="s">
        <v>2182</v>
      </c>
    </row>
    <row r="43" spans="1:8" x14ac:dyDescent="0.3">
      <c r="A43" s="16" t="s">
        <v>2714</v>
      </c>
      <c r="B43" s="200" t="s">
        <v>144</v>
      </c>
      <c r="C43" s="2" t="s">
        <v>144</v>
      </c>
      <c r="D43" s="200" t="s">
        <v>144</v>
      </c>
      <c r="E43" s="16" t="s">
        <v>2438</v>
      </c>
      <c r="F43" s="55"/>
      <c r="H43" s="64" t="s">
        <v>2182</v>
      </c>
    </row>
    <row r="44" spans="1:8" x14ac:dyDescent="0.3">
      <c r="A44" s="79" t="s">
        <v>1279</v>
      </c>
      <c r="B44" s="200" t="s">
        <v>646</v>
      </c>
      <c r="C44" s="2" t="s">
        <v>646</v>
      </c>
      <c r="D44" s="200" t="s">
        <v>646</v>
      </c>
      <c r="E44" s="11"/>
      <c r="F44" s="55"/>
      <c r="H44" s="64" t="s">
        <v>2182</v>
      </c>
    </row>
    <row r="45" spans="1:8" ht="25" x14ac:dyDescent="0.3">
      <c r="A45" s="79" t="s">
        <v>1280</v>
      </c>
      <c r="B45" s="200" t="s">
        <v>646</v>
      </c>
      <c r="C45" s="2" t="s">
        <v>646</v>
      </c>
      <c r="D45" s="200" t="s">
        <v>646</v>
      </c>
      <c r="E45" s="11"/>
      <c r="F45" s="55"/>
      <c r="H45" s="64" t="s">
        <v>2182</v>
      </c>
    </row>
    <row r="46" spans="1:8" ht="25" x14ac:dyDescent="0.3">
      <c r="A46" s="15" t="s">
        <v>239</v>
      </c>
      <c r="B46" s="200" t="s">
        <v>646</v>
      </c>
      <c r="C46" s="2" t="s">
        <v>646</v>
      </c>
      <c r="D46" s="200" t="s">
        <v>646</v>
      </c>
      <c r="E46" s="11"/>
      <c r="F46" s="55"/>
      <c r="H46" s="64" t="s">
        <v>2182</v>
      </c>
    </row>
    <row r="47" spans="1:8" ht="25" x14ac:dyDescent="0.3">
      <c r="A47" s="79" t="s">
        <v>2439</v>
      </c>
      <c r="B47" s="200" t="s">
        <v>646</v>
      </c>
      <c r="C47" s="2" t="s">
        <v>646</v>
      </c>
      <c r="D47" s="200"/>
      <c r="E47" s="11"/>
      <c r="F47" s="55"/>
      <c r="G47" s="60" t="s">
        <v>2935</v>
      </c>
      <c r="H47" s="64"/>
    </row>
    <row r="48" spans="1:8" x14ac:dyDescent="0.3">
      <c r="A48" s="79" t="s">
        <v>2440</v>
      </c>
      <c r="B48" s="200" t="s">
        <v>646</v>
      </c>
      <c r="C48" s="2" t="s">
        <v>646</v>
      </c>
      <c r="D48" s="200"/>
      <c r="E48" s="11"/>
      <c r="F48" s="55"/>
      <c r="H48" s="64"/>
    </row>
    <row r="49" spans="1:10" ht="25" x14ac:dyDescent="0.3">
      <c r="A49" s="16" t="s">
        <v>2441</v>
      </c>
      <c r="B49" s="200" t="s">
        <v>646</v>
      </c>
      <c r="C49" s="2"/>
      <c r="D49" s="200"/>
      <c r="E49" s="11" t="s">
        <v>275</v>
      </c>
      <c r="F49" s="55"/>
      <c r="H49" s="64" t="s">
        <v>2182</v>
      </c>
    </row>
    <row r="50" spans="1:10" x14ac:dyDescent="0.3">
      <c r="A50" s="16" t="s">
        <v>2716</v>
      </c>
      <c r="B50" s="200"/>
      <c r="C50" s="2" t="s">
        <v>843</v>
      </c>
      <c r="D50" s="200"/>
      <c r="E50" s="11"/>
      <c r="F50" s="55"/>
      <c r="H50" s="64"/>
    </row>
    <row r="51" spans="1:10" ht="62.5" x14ac:dyDescent="0.3">
      <c r="A51" s="16" t="s">
        <v>2715</v>
      </c>
      <c r="B51" s="200"/>
      <c r="C51" s="2" t="s">
        <v>843</v>
      </c>
      <c r="D51" s="200"/>
      <c r="E51" s="11" t="s">
        <v>2438</v>
      </c>
      <c r="F51" s="55"/>
      <c r="H51" s="64"/>
    </row>
    <row r="52" spans="1:10" x14ac:dyDescent="0.3">
      <c r="A52" s="35" t="s">
        <v>2442</v>
      </c>
      <c r="B52" s="200" t="s">
        <v>646</v>
      </c>
      <c r="C52" s="2" t="s">
        <v>646</v>
      </c>
      <c r="D52" s="200"/>
      <c r="E52" s="10"/>
      <c r="F52" s="55"/>
      <c r="H52" s="64"/>
    </row>
    <row r="53" spans="1:10" ht="25" x14ac:dyDescent="0.3">
      <c r="A53" s="10" t="s">
        <v>2443</v>
      </c>
      <c r="B53" s="200" t="s">
        <v>646</v>
      </c>
      <c r="C53" s="2" t="s">
        <v>646</v>
      </c>
      <c r="D53" s="200"/>
      <c r="E53" s="10" t="s">
        <v>276</v>
      </c>
      <c r="F53" s="55"/>
      <c r="H53" s="64"/>
    </row>
    <row r="54" spans="1:10" s="46" customFormat="1" x14ac:dyDescent="0.3">
      <c r="A54" s="155" t="s">
        <v>196</v>
      </c>
      <c r="B54" s="200" t="s">
        <v>144</v>
      </c>
      <c r="C54" s="2" t="s">
        <v>144</v>
      </c>
      <c r="D54" s="200" t="s">
        <v>144</v>
      </c>
      <c r="E54" s="36"/>
      <c r="F54" s="55"/>
      <c r="G54" s="60"/>
      <c r="H54" s="64" t="s">
        <v>2182</v>
      </c>
      <c r="I54" s="60"/>
      <c r="J54" s="60"/>
    </row>
    <row r="55" spans="1:10" x14ac:dyDescent="0.3">
      <c r="A55" s="10" t="s">
        <v>546</v>
      </c>
      <c r="B55" s="200" t="s">
        <v>144</v>
      </c>
      <c r="C55" s="2" t="s">
        <v>144</v>
      </c>
      <c r="D55" s="200" t="s">
        <v>144</v>
      </c>
      <c r="E55" s="11"/>
      <c r="F55" s="55"/>
      <c r="H55" s="64" t="s">
        <v>2182</v>
      </c>
    </row>
    <row r="56" spans="1:10" ht="50" x14ac:dyDescent="0.3">
      <c r="A56" s="16" t="s">
        <v>1754</v>
      </c>
      <c r="B56" s="200" t="s">
        <v>144</v>
      </c>
      <c r="C56" s="2" t="s">
        <v>144</v>
      </c>
      <c r="D56" s="200" t="s">
        <v>144</v>
      </c>
      <c r="E56" s="10" t="s">
        <v>472</v>
      </c>
      <c r="F56" s="55"/>
      <c r="H56" s="64" t="s">
        <v>2182</v>
      </c>
    </row>
    <row r="57" spans="1:10" x14ac:dyDescent="0.3">
      <c r="A57" s="10" t="s">
        <v>547</v>
      </c>
      <c r="B57" s="200" t="s">
        <v>646</v>
      </c>
      <c r="C57" s="2" t="s">
        <v>646</v>
      </c>
      <c r="D57" s="200" t="s">
        <v>843</v>
      </c>
      <c r="E57" s="11"/>
      <c r="F57" s="55"/>
      <c r="H57" s="64" t="s">
        <v>2182</v>
      </c>
    </row>
    <row r="58" spans="1:10" ht="25" x14ac:dyDescent="0.3">
      <c r="A58" s="10" t="s">
        <v>810</v>
      </c>
      <c r="B58" s="200"/>
      <c r="C58" s="2" t="s">
        <v>646</v>
      </c>
      <c r="D58" s="200" t="s">
        <v>843</v>
      </c>
      <c r="E58" s="10" t="s">
        <v>531</v>
      </c>
      <c r="F58" s="55"/>
      <c r="H58" s="64" t="s">
        <v>2182</v>
      </c>
    </row>
    <row r="59" spans="1:10" x14ac:dyDescent="0.3">
      <c r="A59" s="10" t="s">
        <v>197</v>
      </c>
      <c r="B59" s="200" t="s">
        <v>144</v>
      </c>
      <c r="C59" s="2" t="s">
        <v>144</v>
      </c>
      <c r="D59" s="200" t="s">
        <v>144</v>
      </c>
      <c r="E59" s="11"/>
      <c r="F59" s="55"/>
      <c r="H59" s="64" t="s">
        <v>2182</v>
      </c>
    </row>
    <row r="60" spans="1:10" x14ac:dyDescent="0.3">
      <c r="A60" s="79" t="s">
        <v>1537</v>
      </c>
      <c r="B60" s="200" t="s">
        <v>144</v>
      </c>
      <c r="C60" s="2" t="s">
        <v>144</v>
      </c>
      <c r="D60" s="200" t="s">
        <v>144</v>
      </c>
      <c r="E60" s="11"/>
      <c r="F60" s="55"/>
      <c r="H60" s="64" t="s">
        <v>2182</v>
      </c>
    </row>
    <row r="61" spans="1:10" ht="25" x14ac:dyDescent="0.3">
      <c r="A61" s="79" t="s">
        <v>1538</v>
      </c>
      <c r="B61" s="200" t="s">
        <v>144</v>
      </c>
      <c r="C61" s="2" t="s">
        <v>144</v>
      </c>
      <c r="D61" s="200" t="s">
        <v>144</v>
      </c>
      <c r="E61" s="11"/>
      <c r="F61" s="55"/>
      <c r="H61" s="64" t="s">
        <v>2182</v>
      </c>
    </row>
    <row r="62" spans="1:10" x14ac:dyDescent="0.3">
      <c r="A62" s="79" t="s">
        <v>1281</v>
      </c>
      <c r="B62" s="200" t="s">
        <v>144</v>
      </c>
      <c r="C62" s="2" t="s">
        <v>144</v>
      </c>
      <c r="D62" s="200" t="s">
        <v>144</v>
      </c>
      <c r="E62" s="11"/>
      <c r="F62" s="55"/>
      <c r="H62" s="64" t="s">
        <v>2182</v>
      </c>
    </row>
    <row r="63" spans="1:10" x14ac:dyDescent="0.3">
      <c r="A63" s="79" t="s">
        <v>1282</v>
      </c>
      <c r="B63" s="200" t="s">
        <v>144</v>
      </c>
      <c r="C63" s="2" t="s">
        <v>144</v>
      </c>
      <c r="D63" s="200" t="s">
        <v>144</v>
      </c>
      <c r="E63" s="11"/>
      <c r="F63" s="55"/>
      <c r="H63" s="64" t="s">
        <v>2182</v>
      </c>
    </row>
    <row r="64" spans="1:10" x14ac:dyDescent="0.3">
      <c r="A64" s="79" t="s">
        <v>1283</v>
      </c>
      <c r="B64" s="200" t="s">
        <v>144</v>
      </c>
      <c r="C64" s="2" t="s">
        <v>144</v>
      </c>
      <c r="D64" s="200" t="s">
        <v>144</v>
      </c>
      <c r="E64" s="11"/>
      <c r="F64" s="55"/>
      <c r="H64" s="64" t="s">
        <v>2182</v>
      </c>
    </row>
    <row r="65" spans="1:10" x14ac:dyDescent="0.3">
      <c r="A65" s="79" t="s">
        <v>1539</v>
      </c>
      <c r="B65" s="200" t="s">
        <v>144</v>
      </c>
      <c r="C65" s="2" t="s">
        <v>144</v>
      </c>
      <c r="D65" s="200" t="s">
        <v>144</v>
      </c>
      <c r="E65" s="11"/>
      <c r="F65" s="55"/>
      <c r="H65" s="64" t="s">
        <v>2182</v>
      </c>
    </row>
    <row r="66" spans="1:10" s="46" customFormat="1" x14ac:dyDescent="0.3">
      <c r="A66" s="34" t="s">
        <v>198</v>
      </c>
      <c r="B66" s="200" t="s">
        <v>144</v>
      </c>
      <c r="C66" s="2" t="s">
        <v>144</v>
      </c>
      <c r="D66" s="200" t="s">
        <v>144</v>
      </c>
      <c r="E66" s="36"/>
      <c r="F66" s="55"/>
      <c r="G66" s="60"/>
      <c r="H66" s="64" t="s">
        <v>2182</v>
      </c>
      <c r="I66" s="60"/>
      <c r="J66" s="60"/>
    </row>
    <row r="67" spans="1:10" x14ac:dyDescent="0.3">
      <c r="A67" s="10" t="s">
        <v>863</v>
      </c>
      <c r="B67" s="200" t="s">
        <v>144</v>
      </c>
      <c r="C67" s="2" t="s">
        <v>144</v>
      </c>
      <c r="D67" s="200" t="s">
        <v>144</v>
      </c>
      <c r="E67" s="11"/>
      <c r="F67" s="55"/>
      <c r="H67" s="64" t="s">
        <v>2182</v>
      </c>
    </row>
    <row r="68" spans="1:10" ht="50" x14ac:dyDescent="0.3">
      <c r="A68" s="16" t="s">
        <v>2351</v>
      </c>
      <c r="B68" s="200" t="s">
        <v>144</v>
      </c>
      <c r="C68" s="2" t="s">
        <v>144</v>
      </c>
      <c r="D68" s="200" t="s">
        <v>144</v>
      </c>
      <c r="E68" s="10" t="s">
        <v>277</v>
      </c>
      <c r="F68" s="55"/>
      <c r="H68" s="64" t="s">
        <v>2182</v>
      </c>
    </row>
    <row r="69" spans="1:10" ht="63" x14ac:dyDescent="0.3">
      <c r="A69" s="16" t="s">
        <v>2806</v>
      </c>
      <c r="B69" s="200" t="s">
        <v>144</v>
      </c>
      <c r="C69" s="2" t="s">
        <v>144</v>
      </c>
      <c r="D69" s="200" t="s">
        <v>144</v>
      </c>
      <c r="E69" s="16" t="s">
        <v>2675</v>
      </c>
      <c r="F69" s="55"/>
      <c r="H69" s="64"/>
    </row>
    <row r="70" spans="1:10" x14ac:dyDescent="0.3">
      <c r="A70" s="79" t="s">
        <v>547</v>
      </c>
      <c r="B70" s="200" t="s">
        <v>646</v>
      </c>
      <c r="C70" s="2" t="s">
        <v>646</v>
      </c>
      <c r="D70" s="200" t="s">
        <v>843</v>
      </c>
      <c r="E70" s="10"/>
      <c r="F70" s="55"/>
      <c r="H70" s="64" t="s">
        <v>2182</v>
      </c>
    </row>
    <row r="71" spans="1:10" ht="21.75" customHeight="1" x14ac:dyDescent="0.3">
      <c r="A71" s="79" t="s">
        <v>1864</v>
      </c>
      <c r="B71" s="200" t="s">
        <v>646</v>
      </c>
      <c r="C71" s="2"/>
      <c r="D71" s="200"/>
      <c r="E71" s="16"/>
      <c r="F71" s="81"/>
      <c r="H71" s="64" t="s">
        <v>2182</v>
      </c>
    </row>
    <row r="72" spans="1:10" ht="25" x14ac:dyDescent="0.3">
      <c r="A72" s="16" t="s">
        <v>43</v>
      </c>
      <c r="B72" s="200"/>
      <c r="C72" s="2" t="s">
        <v>646</v>
      </c>
      <c r="D72" s="200"/>
      <c r="E72" s="16" t="s">
        <v>1541</v>
      </c>
      <c r="F72" s="81"/>
      <c r="H72" s="64" t="s">
        <v>2182</v>
      </c>
    </row>
    <row r="73" spans="1:10" x14ac:dyDescent="0.3">
      <c r="A73" s="16" t="s">
        <v>1865</v>
      </c>
      <c r="B73" s="200"/>
      <c r="C73" s="2"/>
      <c r="D73" s="200" t="s">
        <v>647</v>
      </c>
      <c r="E73" s="16" t="s">
        <v>1540</v>
      </c>
      <c r="F73" s="81"/>
      <c r="H73" s="64" t="s">
        <v>2182</v>
      </c>
    </row>
    <row r="74" spans="1:10" ht="37.5" x14ac:dyDescent="0.3">
      <c r="A74" s="16" t="s">
        <v>2717</v>
      </c>
      <c r="B74" s="200" t="s">
        <v>144</v>
      </c>
      <c r="C74" s="2" t="s">
        <v>144</v>
      </c>
      <c r="D74" s="200" t="s">
        <v>144</v>
      </c>
      <c r="E74" s="16"/>
      <c r="F74" s="81"/>
      <c r="H74" s="64"/>
    </row>
    <row r="75" spans="1:10" x14ac:dyDescent="0.3">
      <c r="A75" s="79" t="s">
        <v>2718</v>
      </c>
      <c r="B75" s="200" t="s">
        <v>144</v>
      </c>
      <c r="C75" s="2" t="s">
        <v>144</v>
      </c>
      <c r="D75" s="200" t="s">
        <v>144</v>
      </c>
      <c r="E75" s="16"/>
      <c r="F75" s="81"/>
      <c r="H75" s="64"/>
    </row>
    <row r="76" spans="1:10" x14ac:dyDescent="0.3">
      <c r="A76" s="79" t="s">
        <v>2352</v>
      </c>
      <c r="B76" s="200" t="s">
        <v>144</v>
      </c>
      <c r="C76" s="2" t="s">
        <v>144</v>
      </c>
      <c r="D76" s="200" t="s">
        <v>144</v>
      </c>
      <c r="E76" s="16" t="s">
        <v>2444</v>
      </c>
      <c r="F76" s="81"/>
      <c r="H76" s="64"/>
    </row>
    <row r="77" spans="1:10" ht="65.25" customHeight="1" x14ac:dyDescent="0.3">
      <c r="A77" s="16" t="s">
        <v>2936</v>
      </c>
      <c r="B77" s="200" t="s">
        <v>646</v>
      </c>
      <c r="C77" s="2" t="s">
        <v>646</v>
      </c>
      <c r="D77" s="200" t="s">
        <v>843</v>
      </c>
      <c r="E77" s="16" t="s">
        <v>2445</v>
      </c>
      <c r="F77" s="55"/>
      <c r="G77" s="95" t="s">
        <v>1856</v>
      </c>
      <c r="H77" s="64" t="s">
        <v>2182</v>
      </c>
    </row>
    <row r="78" spans="1:10" s="46" customFormat="1" ht="25" x14ac:dyDescent="0.3">
      <c r="A78" s="155" t="s">
        <v>202</v>
      </c>
      <c r="B78" s="200" t="s">
        <v>144</v>
      </c>
      <c r="C78" s="2" t="s">
        <v>144</v>
      </c>
      <c r="D78" s="200" t="s">
        <v>144</v>
      </c>
      <c r="E78" s="16" t="s">
        <v>2576</v>
      </c>
      <c r="F78" s="55"/>
      <c r="G78" s="60"/>
      <c r="H78" s="64" t="s">
        <v>2182</v>
      </c>
      <c r="I78" s="60"/>
      <c r="J78" s="60"/>
    </row>
    <row r="79" spans="1:10" x14ac:dyDescent="0.3">
      <c r="A79" s="10" t="s">
        <v>863</v>
      </c>
      <c r="B79" s="200" t="s">
        <v>144</v>
      </c>
      <c r="C79" s="2" t="s">
        <v>144</v>
      </c>
      <c r="D79" s="200" t="s">
        <v>144</v>
      </c>
      <c r="E79" s="11"/>
      <c r="F79" s="55"/>
      <c r="H79" s="64" t="s">
        <v>2182</v>
      </c>
    </row>
    <row r="80" spans="1:10" ht="37.5" x14ac:dyDescent="0.3">
      <c r="A80" s="10" t="s">
        <v>483</v>
      </c>
      <c r="B80" s="200" t="s">
        <v>144</v>
      </c>
      <c r="C80" s="2" t="s">
        <v>144</v>
      </c>
      <c r="D80" s="200" t="s">
        <v>144</v>
      </c>
      <c r="E80" s="10" t="s">
        <v>496</v>
      </c>
      <c r="F80" s="55"/>
      <c r="H80" s="64" t="s">
        <v>2182</v>
      </c>
    </row>
    <row r="81" spans="1:8" ht="37.5" x14ac:dyDescent="0.3">
      <c r="A81" s="16" t="s">
        <v>2719</v>
      </c>
      <c r="B81" s="200" t="s">
        <v>144</v>
      </c>
      <c r="C81" s="2" t="s">
        <v>144</v>
      </c>
      <c r="D81" s="200" t="s">
        <v>144</v>
      </c>
      <c r="E81" s="10"/>
      <c r="F81" s="55"/>
      <c r="H81" s="64"/>
    </row>
    <row r="82" spans="1:8" x14ac:dyDescent="0.3">
      <c r="A82" s="79" t="s">
        <v>2718</v>
      </c>
      <c r="B82" s="200" t="s">
        <v>144</v>
      </c>
      <c r="C82" s="2" t="s">
        <v>144</v>
      </c>
      <c r="D82" s="200" t="s">
        <v>144</v>
      </c>
      <c r="E82" s="10"/>
      <c r="F82" s="55"/>
      <c r="H82" s="64"/>
    </row>
    <row r="83" spans="1:8" x14ac:dyDescent="0.3">
      <c r="A83" s="79" t="s">
        <v>2353</v>
      </c>
      <c r="B83" s="200" t="s">
        <v>144</v>
      </c>
      <c r="C83" s="2" t="s">
        <v>144</v>
      </c>
      <c r="D83" s="200" t="s">
        <v>144</v>
      </c>
      <c r="E83" s="16" t="s">
        <v>2444</v>
      </c>
      <c r="F83" s="55"/>
      <c r="H83" s="64"/>
    </row>
    <row r="84" spans="1:8" ht="25" x14ac:dyDescent="0.3">
      <c r="A84" s="16" t="s">
        <v>2446</v>
      </c>
      <c r="B84" s="200" t="s">
        <v>144</v>
      </c>
      <c r="C84" s="2" t="s">
        <v>144</v>
      </c>
      <c r="D84" s="200" t="s">
        <v>144</v>
      </c>
      <c r="E84" s="16" t="s">
        <v>1284</v>
      </c>
      <c r="F84" s="55"/>
      <c r="H84" s="64" t="s">
        <v>2182</v>
      </c>
    </row>
    <row r="85" spans="1:8" x14ac:dyDescent="0.3">
      <c r="A85" s="10" t="s">
        <v>547</v>
      </c>
      <c r="B85" s="200" t="s">
        <v>646</v>
      </c>
      <c r="C85" s="2" t="s">
        <v>646</v>
      </c>
      <c r="D85" s="200" t="s">
        <v>843</v>
      </c>
      <c r="E85" s="11"/>
      <c r="F85" s="55"/>
      <c r="H85" s="64" t="s">
        <v>2182</v>
      </c>
    </row>
    <row r="86" spans="1:8" x14ac:dyDescent="0.3">
      <c r="A86" s="120" t="s">
        <v>82</v>
      </c>
      <c r="B86" s="200" t="s">
        <v>646</v>
      </c>
      <c r="C86" s="2" t="s">
        <v>646</v>
      </c>
      <c r="D86" s="200" t="s">
        <v>843</v>
      </c>
      <c r="E86" s="11"/>
      <c r="F86" s="55"/>
      <c r="H86" s="64"/>
    </row>
    <row r="87" spans="1:8" x14ac:dyDescent="0.3">
      <c r="A87" s="10" t="s">
        <v>83</v>
      </c>
      <c r="B87" s="200" t="s">
        <v>646</v>
      </c>
      <c r="C87" s="2" t="s">
        <v>646</v>
      </c>
      <c r="D87" s="200" t="s">
        <v>843</v>
      </c>
      <c r="E87" s="11"/>
      <c r="F87" s="55"/>
      <c r="H87" s="64"/>
    </row>
    <row r="88" spans="1:8" ht="27.75" customHeight="1" x14ac:dyDescent="0.3">
      <c r="A88" s="16" t="s">
        <v>1542</v>
      </c>
      <c r="B88" s="200" t="s">
        <v>646</v>
      </c>
      <c r="C88" s="2" t="s">
        <v>646</v>
      </c>
      <c r="D88" s="200" t="s">
        <v>843</v>
      </c>
      <c r="E88" s="16" t="s">
        <v>2619</v>
      </c>
      <c r="F88" s="55"/>
      <c r="H88" s="64"/>
    </row>
    <row r="89" spans="1:8" ht="27.75" customHeight="1" x14ac:dyDescent="0.3">
      <c r="A89" s="16" t="s">
        <v>2118</v>
      </c>
      <c r="B89" s="200"/>
      <c r="C89" s="2"/>
      <c r="D89" s="200" t="s">
        <v>843</v>
      </c>
      <c r="E89" s="16" t="s">
        <v>2095</v>
      </c>
      <c r="F89" s="55"/>
      <c r="H89" s="64"/>
    </row>
    <row r="90" spans="1:8" ht="37.5" x14ac:dyDescent="0.3">
      <c r="A90" s="10" t="s">
        <v>484</v>
      </c>
      <c r="B90" s="200" t="s">
        <v>646</v>
      </c>
      <c r="C90" s="2" t="s">
        <v>646</v>
      </c>
      <c r="D90" s="200" t="s">
        <v>843</v>
      </c>
      <c r="E90" s="10" t="s">
        <v>315</v>
      </c>
      <c r="F90" s="55"/>
      <c r="H90" s="64"/>
    </row>
    <row r="91" spans="1:8" ht="25" x14ac:dyDescent="0.3">
      <c r="A91" s="16" t="s">
        <v>1285</v>
      </c>
      <c r="B91" s="200" t="s">
        <v>646</v>
      </c>
      <c r="C91" s="2" t="s">
        <v>646</v>
      </c>
      <c r="D91" s="200"/>
      <c r="E91" s="10" t="s">
        <v>439</v>
      </c>
      <c r="F91" s="55"/>
      <c r="H91" s="64"/>
    </row>
    <row r="92" spans="1:8" x14ac:dyDescent="0.3">
      <c r="A92" s="120" t="s">
        <v>2119</v>
      </c>
      <c r="B92" s="200" t="s">
        <v>646</v>
      </c>
      <c r="C92" s="2" t="s">
        <v>646</v>
      </c>
      <c r="D92" s="200" t="s">
        <v>843</v>
      </c>
      <c r="E92" s="10"/>
      <c r="F92" s="55"/>
      <c r="H92" s="64"/>
    </row>
    <row r="93" spans="1:8" ht="50" x14ac:dyDescent="0.3">
      <c r="A93" s="16" t="s">
        <v>1755</v>
      </c>
      <c r="B93" s="200" t="s">
        <v>646</v>
      </c>
      <c r="C93" s="2" t="s">
        <v>646</v>
      </c>
      <c r="D93" s="200"/>
      <c r="E93" s="11" t="s">
        <v>528</v>
      </c>
      <c r="F93" s="55"/>
      <c r="G93" s="95"/>
      <c r="H93" s="64"/>
    </row>
    <row r="94" spans="1:8" ht="25" x14ac:dyDescent="0.3">
      <c r="A94" s="16" t="s">
        <v>1543</v>
      </c>
      <c r="B94" s="200"/>
      <c r="C94" s="2"/>
      <c r="D94" s="200" t="s">
        <v>843</v>
      </c>
      <c r="E94" s="2" t="s">
        <v>397</v>
      </c>
      <c r="F94" s="55"/>
      <c r="G94" s="95"/>
      <c r="H94" s="64" t="s">
        <v>2182</v>
      </c>
    </row>
    <row r="95" spans="1:8" x14ac:dyDescent="0.3">
      <c r="A95" s="113" t="s">
        <v>1005</v>
      </c>
      <c r="B95" s="200" t="s">
        <v>646</v>
      </c>
      <c r="C95" s="2" t="s">
        <v>646</v>
      </c>
      <c r="D95" s="200"/>
      <c r="E95" s="16" t="s">
        <v>1006</v>
      </c>
      <c r="F95" s="55"/>
      <c r="H95" s="64" t="s">
        <v>2182</v>
      </c>
    </row>
    <row r="96" spans="1:8" ht="64.5" customHeight="1" x14ac:dyDescent="0.3">
      <c r="A96" s="16" t="s">
        <v>2720</v>
      </c>
      <c r="B96" s="200" t="s">
        <v>646</v>
      </c>
      <c r="C96" s="2" t="s">
        <v>646</v>
      </c>
      <c r="D96" s="200"/>
      <c r="E96" s="16" t="s">
        <v>2621</v>
      </c>
      <c r="F96" s="55"/>
      <c r="G96" s="95"/>
      <c r="H96" s="64" t="s">
        <v>2182</v>
      </c>
    </row>
    <row r="97" spans="1:8" ht="12.75" customHeight="1" x14ac:dyDescent="0.3">
      <c r="A97" s="16" t="s">
        <v>2620</v>
      </c>
      <c r="B97" s="200" t="s">
        <v>646</v>
      </c>
      <c r="C97" s="2" t="s">
        <v>646</v>
      </c>
      <c r="D97" s="200"/>
      <c r="E97" s="16" t="s">
        <v>529</v>
      </c>
      <c r="F97" s="55"/>
      <c r="G97" s="95"/>
      <c r="H97" s="64"/>
    </row>
    <row r="98" spans="1:8" ht="75" x14ac:dyDescent="0.3">
      <c r="A98" s="16" t="s">
        <v>2447</v>
      </c>
      <c r="B98" s="200" t="s">
        <v>646</v>
      </c>
      <c r="C98" s="2" t="s">
        <v>646</v>
      </c>
      <c r="D98" s="200"/>
      <c r="E98" s="16" t="s">
        <v>2586</v>
      </c>
      <c r="F98" s="55"/>
      <c r="G98" s="95"/>
      <c r="H98" s="64" t="s">
        <v>2182</v>
      </c>
    </row>
    <row r="99" spans="1:8" ht="50" x14ac:dyDescent="0.3">
      <c r="A99" s="16" t="s">
        <v>2721</v>
      </c>
      <c r="B99" s="200" t="s">
        <v>646</v>
      </c>
      <c r="C99" s="2" t="s">
        <v>646</v>
      </c>
      <c r="D99" s="200"/>
      <c r="E99" s="16" t="s">
        <v>2448</v>
      </c>
      <c r="F99" s="55"/>
      <c r="G99" s="95"/>
      <c r="H99" s="64" t="s">
        <v>2182</v>
      </c>
    </row>
    <row r="100" spans="1:8" x14ac:dyDescent="0.3">
      <c r="A100" s="114" t="s">
        <v>1544</v>
      </c>
      <c r="B100" s="200" t="s">
        <v>646</v>
      </c>
      <c r="C100" s="2" t="s">
        <v>646</v>
      </c>
      <c r="D100" s="200" t="s">
        <v>843</v>
      </c>
      <c r="E100" s="11"/>
      <c r="F100" s="55"/>
      <c r="H100" s="64" t="s">
        <v>2182</v>
      </c>
    </row>
    <row r="101" spans="1:8" ht="29.25" customHeight="1" x14ac:dyDescent="0.3">
      <c r="A101" s="16" t="s">
        <v>2449</v>
      </c>
      <c r="B101" s="200" t="s">
        <v>646</v>
      </c>
      <c r="C101" s="2" t="s">
        <v>646</v>
      </c>
      <c r="D101" s="200" t="s">
        <v>843</v>
      </c>
      <c r="E101" s="16" t="s">
        <v>1545</v>
      </c>
      <c r="F101" s="55"/>
      <c r="G101" s="95"/>
      <c r="H101" s="64" t="s">
        <v>2182</v>
      </c>
    </row>
    <row r="102" spans="1:8" ht="25" x14ac:dyDescent="0.3">
      <c r="A102" s="16" t="s">
        <v>1668</v>
      </c>
      <c r="B102" s="200" t="s">
        <v>646</v>
      </c>
      <c r="C102" s="2" t="s">
        <v>646</v>
      </c>
      <c r="D102" s="200" t="s">
        <v>843</v>
      </c>
      <c r="E102" s="11"/>
      <c r="F102" s="55"/>
      <c r="H102" s="64" t="s">
        <v>2182</v>
      </c>
    </row>
    <row r="103" spans="1:8" ht="38.5" x14ac:dyDescent="0.3">
      <c r="A103" s="16" t="s">
        <v>2240</v>
      </c>
      <c r="B103" s="200" t="s">
        <v>646</v>
      </c>
      <c r="C103" s="2" t="s">
        <v>646</v>
      </c>
      <c r="D103" s="200" t="s">
        <v>843</v>
      </c>
      <c r="E103" s="11"/>
      <c r="F103" s="55"/>
      <c r="H103" s="64" t="s">
        <v>2182</v>
      </c>
    </row>
    <row r="104" spans="1:8" x14ac:dyDescent="0.3">
      <c r="A104" s="85" t="s">
        <v>1007</v>
      </c>
      <c r="B104" s="200" t="s">
        <v>646</v>
      </c>
      <c r="C104" s="2" t="s">
        <v>646</v>
      </c>
      <c r="D104" s="200" t="s">
        <v>646</v>
      </c>
      <c r="E104" s="2" t="s">
        <v>1359</v>
      </c>
      <c r="F104" s="55"/>
      <c r="H104" s="64" t="s">
        <v>2182</v>
      </c>
    </row>
    <row r="105" spans="1:8" ht="52.5" customHeight="1" x14ac:dyDescent="0.3">
      <c r="A105" s="16" t="s">
        <v>2120</v>
      </c>
      <c r="B105" s="200" t="s">
        <v>646</v>
      </c>
      <c r="C105" s="2" t="s">
        <v>646</v>
      </c>
      <c r="D105" s="200" t="s">
        <v>646</v>
      </c>
      <c r="E105" s="11"/>
      <c r="F105" s="55"/>
      <c r="H105" s="64" t="s">
        <v>2182</v>
      </c>
    </row>
    <row r="106" spans="1:8" ht="39" x14ac:dyDescent="0.3">
      <c r="A106" s="121" t="s">
        <v>2121</v>
      </c>
      <c r="B106" s="200" t="s">
        <v>646</v>
      </c>
      <c r="C106" s="2" t="s">
        <v>646</v>
      </c>
      <c r="D106" s="200" t="s">
        <v>646</v>
      </c>
      <c r="E106" s="11"/>
      <c r="F106" s="55"/>
      <c r="H106" s="64" t="s">
        <v>2182</v>
      </c>
    </row>
    <row r="107" spans="1:8" x14ac:dyDescent="0.3">
      <c r="A107" s="114" t="s">
        <v>671</v>
      </c>
      <c r="B107" s="200" t="s">
        <v>646</v>
      </c>
      <c r="C107" s="2" t="s">
        <v>646</v>
      </c>
      <c r="D107" s="200" t="s">
        <v>843</v>
      </c>
      <c r="E107" s="11"/>
      <c r="F107" s="55"/>
      <c r="G107" s="95"/>
      <c r="H107" s="64" t="s">
        <v>2182</v>
      </c>
    </row>
    <row r="108" spans="1:8" x14ac:dyDescent="0.3">
      <c r="A108" s="10" t="s">
        <v>672</v>
      </c>
      <c r="B108" s="200" t="s">
        <v>646</v>
      </c>
      <c r="C108" s="2" t="s">
        <v>646</v>
      </c>
      <c r="D108" s="200" t="s">
        <v>843</v>
      </c>
      <c r="E108" s="11"/>
      <c r="F108" s="55"/>
      <c r="H108" s="64" t="s">
        <v>2182</v>
      </c>
    </row>
    <row r="109" spans="1:8" x14ac:dyDescent="0.3">
      <c r="A109" s="79" t="s">
        <v>1286</v>
      </c>
      <c r="B109" s="200" t="s">
        <v>646</v>
      </c>
      <c r="C109" s="2" t="s">
        <v>646</v>
      </c>
      <c r="D109" s="200" t="s">
        <v>843</v>
      </c>
      <c r="E109" s="11"/>
      <c r="F109" s="55"/>
      <c r="H109" s="64" t="s">
        <v>2182</v>
      </c>
    </row>
    <row r="110" spans="1:8" x14ac:dyDescent="0.3">
      <c r="A110" s="10" t="s">
        <v>811</v>
      </c>
      <c r="B110" s="200" t="s">
        <v>646</v>
      </c>
      <c r="C110" s="2" t="s">
        <v>646</v>
      </c>
      <c r="D110" s="200" t="s">
        <v>843</v>
      </c>
      <c r="E110" s="11"/>
      <c r="F110" s="55"/>
      <c r="H110" s="64" t="s">
        <v>2182</v>
      </c>
    </row>
    <row r="111" spans="1:8" x14ac:dyDescent="0.3">
      <c r="A111" s="10" t="s">
        <v>673</v>
      </c>
      <c r="B111" s="200" t="s">
        <v>646</v>
      </c>
      <c r="C111" s="2" t="s">
        <v>646</v>
      </c>
      <c r="D111" s="200" t="s">
        <v>843</v>
      </c>
      <c r="E111" s="11"/>
      <c r="F111" s="55"/>
      <c r="H111" s="64" t="s">
        <v>2182</v>
      </c>
    </row>
    <row r="112" spans="1:8" x14ac:dyDescent="0.3">
      <c r="A112" s="79" t="s">
        <v>1287</v>
      </c>
      <c r="B112" s="200" t="s">
        <v>646</v>
      </c>
      <c r="C112" s="2" t="s">
        <v>646</v>
      </c>
      <c r="D112" s="200" t="s">
        <v>843</v>
      </c>
      <c r="E112" s="11"/>
      <c r="F112" s="55"/>
      <c r="H112" s="64" t="s">
        <v>2182</v>
      </c>
    </row>
    <row r="113" spans="1:10" x14ac:dyDescent="0.3">
      <c r="A113" s="15" t="s">
        <v>240</v>
      </c>
      <c r="B113" s="200" t="s">
        <v>646</v>
      </c>
      <c r="C113" s="2" t="s">
        <v>646</v>
      </c>
      <c r="D113" s="200" t="s">
        <v>843</v>
      </c>
      <c r="E113" s="11"/>
      <c r="F113" s="55"/>
      <c r="H113" s="64" t="s">
        <v>2182</v>
      </c>
    </row>
    <row r="114" spans="1:10" x14ac:dyDescent="0.3">
      <c r="A114" s="16" t="s">
        <v>1546</v>
      </c>
      <c r="B114" s="200" t="s">
        <v>646</v>
      </c>
      <c r="C114" s="2" t="s">
        <v>646</v>
      </c>
      <c r="D114" s="200" t="s">
        <v>843</v>
      </c>
      <c r="E114" s="11"/>
      <c r="F114" s="55"/>
      <c r="H114" s="64" t="s">
        <v>2182</v>
      </c>
    </row>
    <row r="115" spans="1:10" x14ac:dyDescent="0.3">
      <c r="A115" s="114" t="s">
        <v>250</v>
      </c>
      <c r="B115" s="200" t="s">
        <v>646</v>
      </c>
      <c r="C115" s="2" t="s">
        <v>646</v>
      </c>
      <c r="D115" s="200" t="s">
        <v>843</v>
      </c>
      <c r="E115" s="11"/>
      <c r="F115" s="55"/>
      <c r="H115" s="64" t="s">
        <v>2182</v>
      </c>
    </row>
    <row r="116" spans="1:10" x14ac:dyDescent="0.3">
      <c r="A116" s="10" t="s">
        <v>251</v>
      </c>
      <c r="B116" s="200" t="s">
        <v>646</v>
      </c>
      <c r="C116" s="2" t="s">
        <v>646</v>
      </c>
      <c r="D116" s="200" t="s">
        <v>843</v>
      </c>
      <c r="E116" s="11"/>
      <c r="F116" s="55"/>
      <c r="H116" s="64" t="s">
        <v>2182</v>
      </c>
    </row>
    <row r="117" spans="1:10" x14ac:dyDescent="0.3">
      <c r="A117" s="139" t="s">
        <v>1288</v>
      </c>
      <c r="B117" s="200" t="s">
        <v>646</v>
      </c>
      <c r="C117" s="2"/>
      <c r="D117" s="200"/>
      <c r="E117" s="11"/>
      <c r="F117" s="55"/>
      <c r="H117" s="64" t="s">
        <v>2182</v>
      </c>
    </row>
    <row r="118" spans="1:10" ht="62.5" x14ac:dyDescent="0.3">
      <c r="A118" s="16" t="s">
        <v>1547</v>
      </c>
      <c r="B118" s="200" t="s">
        <v>646</v>
      </c>
      <c r="C118" s="2"/>
      <c r="D118" s="200"/>
      <c r="E118" s="16" t="s">
        <v>1289</v>
      </c>
      <c r="F118" s="55"/>
      <c r="H118" s="64" t="s">
        <v>2182</v>
      </c>
    </row>
    <row r="119" spans="1:10" ht="25" x14ac:dyDescent="0.3">
      <c r="A119" s="16" t="s">
        <v>2625</v>
      </c>
      <c r="B119" s="200"/>
      <c r="C119" s="2" t="s">
        <v>2626</v>
      </c>
      <c r="D119" s="200"/>
      <c r="E119" s="16" t="s">
        <v>2627</v>
      </c>
      <c r="F119" s="55"/>
      <c r="H119" s="64"/>
    </row>
    <row r="120" spans="1:10" ht="54" customHeight="1" x14ac:dyDescent="0.3">
      <c r="A120" s="16" t="s">
        <v>1866</v>
      </c>
      <c r="B120" s="200" t="s">
        <v>646</v>
      </c>
      <c r="C120" s="2"/>
      <c r="D120" s="200"/>
      <c r="E120" s="16" t="s">
        <v>1414</v>
      </c>
      <c r="F120" s="55"/>
      <c r="H120" s="64" t="s">
        <v>2182</v>
      </c>
    </row>
    <row r="121" spans="1:10" s="46" customFormat="1" x14ac:dyDescent="0.3">
      <c r="A121" s="34" t="s">
        <v>252</v>
      </c>
      <c r="B121" s="200" t="s">
        <v>144</v>
      </c>
      <c r="C121" s="2" t="s">
        <v>144</v>
      </c>
      <c r="D121" s="200" t="s">
        <v>144</v>
      </c>
      <c r="E121" s="36"/>
      <c r="F121" s="55"/>
      <c r="G121" s="60"/>
      <c r="H121" s="64" t="s">
        <v>2182</v>
      </c>
      <c r="I121" s="60"/>
      <c r="J121" s="60"/>
    </row>
    <row r="122" spans="1:10" x14ac:dyDescent="0.3">
      <c r="A122" s="10" t="s">
        <v>546</v>
      </c>
      <c r="B122" s="200" t="s">
        <v>144</v>
      </c>
      <c r="C122" s="2" t="s">
        <v>144</v>
      </c>
      <c r="D122" s="200" t="s">
        <v>144</v>
      </c>
      <c r="E122" s="11"/>
      <c r="F122" s="55"/>
      <c r="H122" s="64" t="s">
        <v>2182</v>
      </c>
    </row>
    <row r="123" spans="1:10" ht="25.5" customHeight="1" x14ac:dyDescent="0.3">
      <c r="A123" s="10" t="s">
        <v>253</v>
      </c>
      <c r="B123" s="200" t="s">
        <v>144</v>
      </c>
      <c r="C123" s="2" t="s">
        <v>144</v>
      </c>
      <c r="D123" s="200" t="s">
        <v>144</v>
      </c>
      <c r="E123" s="10" t="s">
        <v>530</v>
      </c>
      <c r="F123" s="55"/>
      <c r="H123" s="64" t="s">
        <v>2182</v>
      </c>
    </row>
    <row r="124" spans="1:10" x14ac:dyDescent="0.3">
      <c r="A124" s="10" t="s">
        <v>547</v>
      </c>
      <c r="B124" s="200"/>
      <c r="C124" s="2" t="s">
        <v>646</v>
      </c>
      <c r="D124" s="200" t="s">
        <v>843</v>
      </c>
      <c r="E124" s="11"/>
      <c r="F124" s="55"/>
      <c r="H124" s="64" t="s">
        <v>2182</v>
      </c>
    </row>
    <row r="125" spans="1:10" ht="37.5" x14ac:dyDescent="0.3">
      <c r="A125" s="16" t="s">
        <v>1756</v>
      </c>
      <c r="B125" s="200"/>
      <c r="C125" s="2" t="s">
        <v>646</v>
      </c>
      <c r="D125" s="200" t="s">
        <v>843</v>
      </c>
      <c r="E125" s="10" t="s">
        <v>531</v>
      </c>
      <c r="F125" s="55"/>
      <c r="H125" s="64" t="s">
        <v>2182</v>
      </c>
    </row>
    <row r="126" spans="1:10" x14ac:dyDescent="0.3">
      <c r="A126" s="79" t="s">
        <v>1548</v>
      </c>
      <c r="B126" s="200"/>
      <c r="C126" s="2" t="s">
        <v>646</v>
      </c>
      <c r="D126" s="200" t="s">
        <v>843</v>
      </c>
      <c r="E126" s="11"/>
      <c r="F126" s="55"/>
      <c r="H126" s="64" t="s">
        <v>2182</v>
      </c>
    </row>
    <row r="127" spans="1:10" x14ac:dyDescent="0.3">
      <c r="A127" s="79" t="s">
        <v>1549</v>
      </c>
      <c r="B127" s="200"/>
      <c r="C127" s="2" t="s">
        <v>646</v>
      </c>
      <c r="D127" s="200" t="s">
        <v>843</v>
      </c>
      <c r="E127" s="11"/>
      <c r="F127" s="55"/>
      <c r="H127" s="64" t="s">
        <v>2182</v>
      </c>
    </row>
    <row r="128" spans="1:10" x14ac:dyDescent="0.3">
      <c r="A128" s="79" t="s">
        <v>1757</v>
      </c>
      <c r="B128" s="200"/>
      <c r="C128" s="2" t="s">
        <v>646</v>
      </c>
      <c r="D128" s="200" t="s">
        <v>843</v>
      </c>
      <c r="E128" s="11"/>
      <c r="F128" s="55"/>
      <c r="H128" s="64" t="s">
        <v>2182</v>
      </c>
    </row>
    <row r="129" spans="1:10" x14ac:dyDescent="0.3">
      <c r="A129" s="79" t="s">
        <v>1550</v>
      </c>
      <c r="B129" s="200"/>
      <c r="C129" s="2" t="s">
        <v>646</v>
      </c>
      <c r="D129" s="200" t="s">
        <v>843</v>
      </c>
      <c r="E129" s="11"/>
      <c r="F129" s="55"/>
      <c r="H129" s="64" t="s">
        <v>2182</v>
      </c>
    </row>
    <row r="130" spans="1:10" s="46" customFormat="1" x14ac:dyDescent="0.3">
      <c r="A130" s="34" t="s">
        <v>198</v>
      </c>
      <c r="B130" s="200" t="s">
        <v>144</v>
      </c>
      <c r="C130" s="2" t="s">
        <v>144</v>
      </c>
      <c r="D130" s="200" t="s">
        <v>144</v>
      </c>
      <c r="E130" s="36"/>
      <c r="F130" s="55"/>
      <c r="G130" s="60"/>
      <c r="H130" s="64" t="s">
        <v>2182</v>
      </c>
      <c r="I130" s="60"/>
      <c r="J130" s="60"/>
    </row>
    <row r="131" spans="1:10" x14ac:dyDescent="0.3">
      <c r="A131" s="10" t="s">
        <v>863</v>
      </c>
      <c r="B131" s="200" t="s">
        <v>144</v>
      </c>
      <c r="C131" s="2" t="s">
        <v>144</v>
      </c>
      <c r="D131" s="200" t="s">
        <v>144</v>
      </c>
      <c r="E131" s="11"/>
      <c r="F131" s="55"/>
      <c r="H131" s="64" t="s">
        <v>2182</v>
      </c>
    </row>
    <row r="132" spans="1:10" ht="37.5" x14ac:dyDescent="0.3">
      <c r="A132" s="16" t="s">
        <v>2450</v>
      </c>
      <c r="B132" s="200" t="s">
        <v>144</v>
      </c>
      <c r="C132" s="2" t="s">
        <v>144</v>
      </c>
      <c r="D132" s="226" t="s">
        <v>144</v>
      </c>
      <c r="E132" s="16" t="s">
        <v>277</v>
      </c>
      <c r="F132" s="55"/>
      <c r="H132" s="64" t="s">
        <v>2182</v>
      </c>
    </row>
    <row r="133" spans="1:10" x14ac:dyDescent="0.3">
      <c r="A133" s="10" t="s">
        <v>547</v>
      </c>
      <c r="B133" s="200" t="s">
        <v>646</v>
      </c>
      <c r="C133" s="2" t="s">
        <v>646</v>
      </c>
      <c r="D133" s="200" t="s">
        <v>843</v>
      </c>
      <c r="E133" s="11"/>
      <c r="F133" s="55"/>
      <c r="H133" s="64" t="s">
        <v>2182</v>
      </c>
    </row>
    <row r="134" spans="1:10" ht="25" x14ac:dyDescent="0.3">
      <c r="A134" s="16" t="s">
        <v>2123</v>
      </c>
      <c r="B134" s="200" t="s">
        <v>646</v>
      </c>
      <c r="C134" s="2" t="s">
        <v>646</v>
      </c>
      <c r="D134" s="200" t="s">
        <v>843</v>
      </c>
      <c r="E134" s="16" t="s">
        <v>94</v>
      </c>
      <c r="F134" s="55"/>
      <c r="H134" s="64" t="s">
        <v>2182</v>
      </c>
    </row>
    <row r="135" spans="1:10" x14ac:dyDescent="0.3">
      <c r="A135" s="16" t="s">
        <v>2122</v>
      </c>
      <c r="B135" s="200" t="s">
        <v>646</v>
      </c>
      <c r="C135" s="2" t="s">
        <v>646</v>
      </c>
      <c r="D135" s="200" t="s">
        <v>843</v>
      </c>
      <c r="E135" s="10" t="s">
        <v>1476</v>
      </c>
      <c r="F135" s="55"/>
      <c r="H135" s="64"/>
    </row>
    <row r="136" spans="1:10" x14ac:dyDescent="0.3">
      <c r="A136" s="16" t="s">
        <v>1864</v>
      </c>
      <c r="B136" s="200" t="s">
        <v>646</v>
      </c>
      <c r="C136" s="2"/>
      <c r="D136" s="200"/>
      <c r="E136" s="10"/>
      <c r="F136" s="55"/>
      <c r="H136" s="64" t="s">
        <v>2182</v>
      </c>
    </row>
    <row r="137" spans="1:10" ht="25" x14ac:dyDescent="0.3">
      <c r="A137" s="16" t="s">
        <v>1758</v>
      </c>
      <c r="B137" s="200"/>
      <c r="C137" s="2" t="s">
        <v>646</v>
      </c>
      <c r="D137" s="200" t="s">
        <v>843</v>
      </c>
      <c r="E137" s="16" t="s">
        <v>1541</v>
      </c>
      <c r="F137" s="55"/>
      <c r="H137" s="64" t="s">
        <v>2182</v>
      </c>
    </row>
    <row r="138" spans="1:10" x14ac:dyDescent="0.3">
      <c r="A138" s="16" t="s">
        <v>1867</v>
      </c>
      <c r="B138" s="200"/>
      <c r="C138" s="2"/>
      <c r="D138" s="200" t="s">
        <v>647</v>
      </c>
      <c r="E138" s="16" t="s">
        <v>1540</v>
      </c>
      <c r="F138" s="55"/>
      <c r="H138" s="64" t="s">
        <v>2182</v>
      </c>
    </row>
    <row r="139" spans="1:10" x14ac:dyDescent="0.3">
      <c r="A139" s="35" t="s">
        <v>2722</v>
      </c>
      <c r="B139" s="200"/>
      <c r="C139" s="2"/>
      <c r="D139" s="200"/>
      <c r="E139" s="16" t="s">
        <v>115</v>
      </c>
      <c r="F139" s="55"/>
      <c r="H139" s="64"/>
    </row>
    <row r="140" spans="1:10" ht="37.5" x14ac:dyDescent="0.3">
      <c r="A140" s="16" t="s">
        <v>2723</v>
      </c>
      <c r="B140" s="200" t="s">
        <v>646</v>
      </c>
      <c r="C140" s="2" t="s">
        <v>2626</v>
      </c>
      <c r="D140" s="200" t="s">
        <v>2626</v>
      </c>
      <c r="E140" s="16"/>
      <c r="F140" s="55"/>
      <c r="H140" s="64"/>
    </row>
    <row r="141" spans="1:10" x14ac:dyDescent="0.3">
      <c r="A141" s="139" t="s">
        <v>201</v>
      </c>
      <c r="B141" s="200" t="s">
        <v>646</v>
      </c>
      <c r="C141" s="2"/>
      <c r="D141" s="200" t="s">
        <v>843</v>
      </c>
      <c r="E141" s="11"/>
      <c r="F141" s="55"/>
      <c r="G141" s="95"/>
      <c r="H141" s="64" t="s">
        <v>2182</v>
      </c>
    </row>
    <row r="142" spans="1:10" x14ac:dyDescent="0.3">
      <c r="A142" s="139" t="s">
        <v>1290</v>
      </c>
      <c r="B142" s="200" t="s">
        <v>646</v>
      </c>
      <c r="C142" s="2"/>
      <c r="D142" s="200" t="s">
        <v>843</v>
      </c>
      <c r="E142" s="11"/>
      <c r="F142" s="55"/>
      <c r="G142" s="95"/>
      <c r="H142" s="64" t="s">
        <v>2182</v>
      </c>
    </row>
    <row r="143" spans="1:10" x14ac:dyDescent="0.3">
      <c r="A143" s="139" t="s">
        <v>202</v>
      </c>
      <c r="B143" s="200" t="s">
        <v>646</v>
      </c>
      <c r="C143" s="2" t="s">
        <v>646</v>
      </c>
      <c r="D143" s="200" t="s">
        <v>843</v>
      </c>
      <c r="E143" s="11"/>
      <c r="F143" s="55"/>
      <c r="H143" s="64" t="s">
        <v>2182</v>
      </c>
    </row>
    <row r="144" spans="1:10" ht="41.25" customHeight="1" x14ac:dyDescent="0.3">
      <c r="A144" s="16" t="s">
        <v>2829</v>
      </c>
      <c r="B144" s="200" t="s">
        <v>646</v>
      </c>
      <c r="C144" s="2" t="s">
        <v>646</v>
      </c>
      <c r="D144" s="200"/>
      <c r="E144" s="16" t="s">
        <v>2451</v>
      </c>
      <c r="F144" s="55"/>
      <c r="G144" s="95"/>
      <c r="H144" s="64" t="s">
        <v>2182</v>
      </c>
    </row>
    <row r="145" spans="1:10" ht="47.25" customHeight="1" x14ac:dyDescent="0.3">
      <c r="A145" s="16" t="s">
        <v>2830</v>
      </c>
      <c r="B145" s="200" t="s">
        <v>800</v>
      </c>
      <c r="C145" s="2" t="s">
        <v>800</v>
      </c>
      <c r="D145" s="200"/>
      <c r="E145" s="2" t="s">
        <v>528</v>
      </c>
      <c r="F145" s="55"/>
      <c r="G145" s="95"/>
      <c r="H145" s="64"/>
    </row>
    <row r="146" spans="1:10" ht="25" x14ac:dyDescent="0.3">
      <c r="A146" s="16" t="s">
        <v>1543</v>
      </c>
      <c r="B146" s="200"/>
      <c r="C146" s="2"/>
      <c r="D146" s="200" t="s">
        <v>646</v>
      </c>
      <c r="E146" s="16" t="s">
        <v>2850</v>
      </c>
      <c r="F146" s="55"/>
      <c r="G146" s="95"/>
      <c r="H146" s="64" t="s">
        <v>2182</v>
      </c>
    </row>
    <row r="147" spans="1:10" s="46" customFormat="1" x14ac:dyDescent="0.3">
      <c r="A147" s="34" t="s">
        <v>640</v>
      </c>
      <c r="B147" s="200" t="s">
        <v>646</v>
      </c>
      <c r="C147" s="2" t="s">
        <v>646</v>
      </c>
      <c r="D147" s="200" t="s">
        <v>843</v>
      </c>
      <c r="E147" s="36"/>
      <c r="F147" s="55"/>
      <c r="G147" s="60"/>
      <c r="H147" s="64" t="s">
        <v>2182</v>
      </c>
      <c r="I147" s="60"/>
      <c r="J147" s="60"/>
    </row>
    <row r="148" spans="1:10" x14ac:dyDescent="0.3">
      <c r="A148" s="10" t="s">
        <v>547</v>
      </c>
      <c r="B148" s="200" t="s">
        <v>646</v>
      </c>
      <c r="C148" s="2" t="s">
        <v>646</v>
      </c>
      <c r="D148" s="200" t="s">
        <v>843</v>
      </c>
      <c r="E148" s="11"/>
      <c r="F148" s="55"/>
      <c r="H148" s="64" t="s">
        <v>2182</v>
      </c>
    </row>
    <row r="149" spans="1:10" ht="25" x14ac:dyDescent="0.3">
      <c r="A149" s="10" t="s">
        <v>44</v>
      </c>
      <c r="B149" s="200" t="s">
        <v>646</v>
      </c>
      <c r="C149" s="2" t="s">
        <v>646</v>
      </c>
      <c r="D149" s="200" t="s">
        <v>843</v>
      </c>
      <c r="E149" s="11"/>
      <c r="F149" s="55"/>
      <c r="H149" s="64" t="s">
        <v>2182</v>
      </c>
    </row>
    <row r="150" spans="1:10" ht="25" x14ac:dyDescent="0.3">
      <c r="A150" s="79" t="s">
        <v>1291</v>
      </c>
      <c r="B150" s="200" t="s">
        <v>646</v>
      </c>
      <c r="C150" s="2" t="s">
        <v>646</v>
      </c>
      <c r="D150" s="200" t="s">
        <v>843</v>
      </c>
      <c r="E150" s="11"/>
      <c r="F150" s="55"/>
      <c r="H150" s="64" t="s">
        <v>2182</v>
      </c>
    </row>
    <row r="151" spans="1:10" x14ac:dyDescent="0.3">
      <c r="A151" s="79" t="s">
        <v>1292</v>
      </c>
      <c r="B151" s="200" t="s">
        <v>646</v>
      </c>
      <c r="C151" s="2" t="s">
        <v>646</v>
      </c>
      <c r="D151" s="200" t="s">
        <v>843</v>
      </c>
      <c r="E151" s="11"/>
      <c r="F151" s="55"/>
      <c r="H151" s="64" t="s">
        <v>2182</v>
      </c>
    </row>
    <row r="152" spans="1:10" ht="25" x14ac:dyDescent="0.3">
      <c r="A152" s="79" t="s">
        <v>1293</v>
      </c>
      <c r="B152" s="200" t="s">
        <v>646</v>
      </c>
      <c r="C152" s="2" t="s">
        <v>646</v>
      </c>
      <c r="D152" s="200" t="s">
        <v>843</v>
      </c>
      <c r="E152" s="11"/>
      <c r="F152" s="55"/>
      <c r="H152" s="64" t="s">
        <v>2182</v>
      </c>
    </row>
    <row r="153" spans="1:10" x14ac:dyDescent="0.3">
      <c r="A153" s="79" t="s">
        <v>1008</v>
      </c>
      <c r="B153" s="200" t="s">
        <v>646</v>
      </c>
      <c r="C153" s="2" t="s">
        <v>646</v>
      </c>
      <c r="D153" s="200" t="s">
        <v>843</v>
      </c>
      <c r="E153" s="11"/>
      <c r="F153" s="55"/>
      <c r="H153" s="64" t="s">
        <v>2182</v>
      </c>
    </row>
    <row r="154" spans="1:10" ht="62.5" x14ac:dyDescent="0.3">
      <c r="A154" s="16" t="s">
        <v>2452</v>
      </c>
      <c r="B154" s="200" t="s">
        <v>646</v>
      </c>
      <c r="C154" s="2" t="s">
        <v>646</v>
      </c>
      <c r="D154" s="200" t="s">
        <v>843</v>
      </c>
      <c r="E154" s="10" t="s">
        <v>218</v>
      </c>
      <c r="F154" s="55"/>
      <c r="H154" s="64" t="s">
        <v>2182</v>
      </c>
    </row>
    <row r="155" spans="1:10" ht="25" x14ac:dyDescent="0.3">
      <c r="A155" s="16" t="s">
        <v>2453</v>
      </c>
      <c r="B155" s="200" t="s">
        <v>646</v>
      </c>
      <c r="C155" s="2" t="s">
        <v>646</v>
      </c>
      <c r="D155" s="200" t="s">
        <v>843</v>
      </c>
      <c r="E155" s="11"/>
      <c r="F155" s="55"/>
      <c r="H155" s="64" t="s">
        <v>2182</v>
      </c>
    </row>
    <row r="156" spans="1:10" x14ac:dyDescent="0.3">
      <c r="A156" s="79" t="s">
        <v>1294</v>
      </c>
      <c r="B156" s="200" t="s">
        <v>646</v>
      </c>
      <c r="C156" s="2" t="s">
        <v>646</v>
      </c>
      <c r="D156" s="200" t="s">
        <v>843</v>
      </c>
      <c r="E156" s="10" t="s">
        <v>219</v>
      </c>
      <c r="F156" s="55"/>
      <c r="H156" s="64" t="s">
        <v>2182</v>
      </c>
    </row>
    <row r="157" spans="1:10" x14ac:dyDescent="0.3">
      <c r="A157" s="15" t="s">
        <v>241</v>
      </c>
      <c r="B157" s="200" t="s">
        <v>646</v>
      </c>
      <c r="C157" s="2" t="s">
        <v>646</v>
      </c>
      <c r="D157" s="200" t="s">
        <v>843</v>
      </c>
      <c r="E157" s="10" t="s">
        <v>21</v>
      </c>
      <c r="F157" s="55"/>
      <c r="H157" s="64" t="s">
        <v>2182</v>
      </c>
    </row>
    <row r="158" spans="1:10" x14ac:dyDescent="0.3">
      <c r="A158" s="10" t="s">
        <v>242</v>
      </c>
      <c r="B158" s="200" t="s">
        <v>646</v>
      </c>
      <c r="C158" s="2" t="s">
        <v>646</v>
      </c>
      <c r="D158" s="200" t="s">
        <v>843</v>
      </c>
      <c r="E158" s="11"/>
      <c r="F158" s="55"/>
      <c r="H158" s="64" t="s">
        <v>2182</v>
      </c>
    </row>
    <row r="159" spans="1:10" x14ac:dyDescent="0.3">
      <c r="A159" s="79" t="s">
        <v>1295</v>
      </c>
      <c r="B159" s="200" t="s">
        <v>646</v>
      </c>
      <c r="C159" s="2" t="s">
        <v>646</v>
      </c>
      <c r="D159" s="200" t="s">
        <v>843</v>
      </c>
      <c r="E159" s="11"/>
      <c r="F159" s="55"/>
      <c r="H159" s="64" t="s">
        <v>2182</v>
      </c>
    </row>
    <row r="160" spans="1:10" x14ac:dyDescent="0.3">
      <c r="A160" s="79" t="s">
        <v>1296</v>
      </c>
      <c r="B160" s="200" t="s">
        <v>646</v>
      </c>
      <c r="C160" s="2" t="s">
        <v>646</v>
      </c>
      <c r="D160" s="200" t="s">
        <v>843</v>
      </c>
      <c r="E160" s="11"/>
      <c r="F160" s="55"/>
      <c r="H160" s="64" t="s">
        <v>2182</v>
      </c>
    </row>
    <row r="161" spans="1:10" ht="25" x14ac:dyDescent="0.3">
      <c r="A161" s="79" t="s">
        <v>1297</v>
      </c>
      <c r="B161" s="200" t="s">
        <v>646</v>
      </c>
      <c r="C161" s="2" t="s">
        <v>646</v>
      </c>
      <c r="D161" s="200" t="s">
        <v>843</v>
      </c>
      <c r="E161" s="11"/>
      <c r="F161" s="55"/>
      <c r="H161" s="64" t="s">
        <v>2182</v>
      </c>
    </row>
    <row r="162" spans="1:10" x14ac:dyDescent="0.3">
      <c r="A162" s="79" t="s">
        <v>1298</v>
      </c>
      <c r="B162" s="200" t="s">
        <v>646</v>
      </c>
      <c r="C162" s="2" t="s">
        <v>646</v>
      </c>
      <c r="D162" s="200" t="s">
        <v>843</v>
      </c>
      <c r="E162" s="11"/>
      <c r="F162" s="55"/>
      <c r="H162" s="64" t="s">
        <v>2182</v>
      </c>
    </row>
    <row r="163" spans="1:10" x14ac:dyDescent="0.3">
      <c r="A163" s="79" t="s">
        <v>1551</v>
      </c>
      <c r="B163" s="200" t="s">
        <v>646</v>
      </c>
      <c r="C163" s="2" t="s">
        <v>646</v>
      </c>
      <c r="D163" s="200" t="s">
        <v>843</v>
      </c>
      <c r="E163" s="11"/>
      <c r="F163" s="55"/>
      <c r="G163" s="95"/>
      <c r="H163" s="64" t="s">
        <v>2182</v>
      </c>
    </row>
    <row r="164" spans="1:10" x14ac:dyDescent="0.3">
      <c r="A164" s="79" t="s">
        <v>1009</v>
      </c>
      <c r="B164" s="200" t="s">
        <v>646</v>
      </c>
      <c r="C164" s="2" t="s">
        <v>646</v>
      </c>
      <c r="D164" s="200" t="s">
        <v>843</v>
      </c>
      <c r="E164" s="11"/>
      <c r="F164" s="55"/>
      <c r="G164" s="58"/>
      <c r="H164" s="64" t="s">
        <v>2182</v>
      </c>
    </row>
    <row r="165" spans="1:10" s="46" customFormat="1" x14ac:dyDescent="0.3">
      <c r="A165" s="34" t="s">
        <v>126</v>
      </c>
      <c r="B165" s="200" t="s">
        <v>646</v>
      </c>
      <c r="C165" s="2" t="s">
        <v>646</v>
      </c>
      <c r="D165" s="200" t="s">
        <v>843</v>
      </c>
      <c r="E165" s="36"/>
      <c r="F165" s="55"/>
      <c r="G165" s="60"/>
      <c r="H165" s="64" t="s">
        <v>2182</v>
      </c>
      <c r="I165" s="60"/>
      <c r="J165" s="60"/>
    </row>
    <row r="166" spans="1:10" ht="62.5" x14ac:dyDescent="0.3">
      <c r="A166" s="16" t="s">
        <v>2454</v>
      </c>
      <c r="B166" s="200" t="s">
        <v>646</v>
      </c>
      <c r="C166" s="2" t="s">
        <v>646</v>
      </c>
      <c r="D166" s="200" t="s">
        <v>843</v>
      </c>
      <c r="E166" s="16" t="s">
        <v>2241</v>
      </c>
      <c r="F166" s="55"/>
      <c r="H166" s="64" t="s">
        <v>2182</v>
      </c>
    </row>
    <row r="167" spans="1:10" ht="37.5" x14ac:dyDescent="0.3">
      <c r="A167" s="16" t="s">
        <v>2321</v>
      </c>
      <c r="B167" s="200" t="s">
        <v>646</v>
      </c>
      <c r="C167" s="2" t="s">
        <v>646</v>
      </c>
      <c r="D167" s="200" t="s">
        <v>843</v>
      </c>
      <c r="E167" s="16" t="s">
        <v>2455</v>
      </c>
      <c r="F167" s="55"/>
      <c r="H167" s="64" t="s">
        <v>2182</v>
      </c>
    </row>
    <row r="168" spans="1:10" x14ac:dyDescent="0.25">
      <c r="A168" s="5"/>
    </row>
  </sheetData>
  <sheetProtection algorithmName="SHA-512" hashValue="KaiiYGslQgx/vUH5uCTD3rhdpAbqshYnHj+Xk0L1GXyun6jrQH1yNKvbC3GFbnfY7Q2ZCZvwubFEy11zMY9/YQ==" saltValue="tMjXMXnLoSjAYv8lY7Jyrg==" spinCount="100000" sheet="1" objects="1" scenarios="1" autoFilter="0"/>
  <autoFilter ref="B5:G169" xr:uid="{00000000-0009-0000-0000-000010000000}"/>
  <customSheetViews>
    <customSheetView guid="{33D191C9-AE75-45EC-B301-B583C3381734}" showGridLines="0" fitToPage="1" printArea="1" showAutoFilter="1">
      <pane ySplit="5" topLeftCell="A132" activePane="bottomLeft" state="frozen"/>
      <selection pane="bottomLeft"/>
      <pageMargins left="0.75" right="0.75" top="1" bottom="1" header="0.5" footer="0.5"/>
      <pageSetup paperSize="9" scale="81" fitToHeight="100" orientation="landscape" r:id="rId1"/>
      <headerFooter alignWithMargins="0"/>
      <autoFilter ref="B1:G1" xr:uid="{94E3364E-EFB7-4693-B0F1-E8D7B50D7EEC}"/>
    </customSheetView>
  </customSheetViews>
  <mergeCells count="1">
    <mergeCell ref="B4:F4"/>
  </mergeCells>
  <phoneticPr fontId="2" type="noConversion"/>
  <dataValidations count="1">
    <dataValidation type="list" allowBlank="1" showInputMessage="1" showErrorMessage="1" sqref="F6:F167" xr:uid="{00000000-0002-0000-1000-000000000000}">
      <formula1>"Akkoord,Opmerking,N.v.t.,,"</formula1>
    </dataValidation>
  </dataValidations>
  <hyperlinks>
    <hyperlink ref="A6" location="'Winst- en verliesrek'!A4" display="ALGEMEEN" xr:uid="{00000000-0004-0000-1000-000000000000}"/>
    <hyperlink ref="A17" location="'Winst- en verliesrek'!A15" display="Grondslagen voor de bepaling van het resultaat" xr:uid="{00000000-0004-0000-1000-000001000000}"/>
    <hyperlink ref="A54" location="'Winst- en verliesrek'!A26" display="Categoriale indeling" xr:uid="{00000000-0004-0000-1000-000002000000}"/>
    <hyperlink ref="A66" location="'Winst- en verliesrek'!A38" display="Netto-omzet" xr:uid="{00000000-0004-0000-1000-000003000000}"/>
    <hyperlink ref="A78" location="'Winst- en verliesrek'!A54" display="Lonen en salarissen" xr:uid="{00000000-0004-0000-1000-000004000000}"/>
    <hyperlink ref="A121" location="'Winst- en verliesrek'!A80" display="Functionele indeling" xr:uid="{00000000-0004-0000-1000-000005000000}"/>
    <hyperlink ref="A130" location="'Winst- en verliesrek'!A89" display="Netto-omzet" xr:uid="{00000000-0004-0000-1000-000006000000}"/>
    <hyperlink ref="A165" location="'Winst- en verliesrek'!A130" display="Bijzondere posten" xr:uid="{00000000-0004-0000-1000-000007000000}"/>
    <hyperlink ref="A5" location="'Winst- en verliesrek'!A2" display="WINST- EN VERLIESREKENING" xr:uid="{00000000-0004-0000-1000-000008000000}"/>
    <hyperlink ref="A147" location="'Winst- en verliesrek'!A108" display="Overige posten winst- en verliesrekening" xr:uid="{00000000-0004-0000-1000-000009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7413"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lad37">
    <tabColor rgb="FF951B81"/>
    <pageSetUpPr fitToPage="1"/>
  </sheetPr>
  <dimension ref="A1:J39"/>
  <sheetViews>
    <sheetView showGridLines="0" zoomScaleNormal="100" workbookViewId="0">
      <pane ySplit="5" topLeftCell="A6" activePane="bottomLeft" state="frozen"/>
      <selection activeCell="A119" sqref="A119"/>
      <selection pane="bottomLeft" activeCell="A6" sqref="A6"/>
    </sheetView>
  </sheetViews>
  <sheetFormatPr defaultColWidth="9.1796875" defaultRowHeight="12.5" x14ac:dyDescent="0.25"/>
  <cols>
    <col min="1" max="1" width="60.7265625" style="6" customWidth="1"/>
    <col min="2" max="2" width="10.7265625" style="1" customWidth="1"/>
    <col min="3" max="3" width="10.81640625" style="1" customWidth="1"/>
    <col min="4" max="4" width="8.453125" style="1" customWidth="1"/>
    <col min="5" max="5" width="12.7265625" style="6" customWidth="1"/>
    <col min="6" max="6" width="10.7265625" style="58" customWidth="1"/>
    <col min="7" max="7" width="24.1796875" style="58" customWidth="1"/>
    <col min="8" max="10" width="9.1796875" style="58"/>
    <col min="11" max="16384" width="9.1796875" style="6"/>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ht="20.149999999999999" customHeight="1" x14ac:dyDescent="0.25">
      <c r="B4" s="256" t="str">
        <f>CONCATENATE("Klant en boekjaar: ",Klantnummer,"; ",Naam_klant,";  ",Boekjaar)</f>
        <v xml:space="preserve">Klant en boekjaar: ; ;  </v>
      </c>
      <c r="C4" s="255"/>
      <c r="D4" s="255"/>
      <c r="E4" s="255"/>
      <c r="F4" s="255"/>
    </row>
    <row r="5" spans="1:10" ht="15.5" x14ac:dyDescent="0.25">
      <c r="A5" s="218" t="s">
        <v>127</v>
      </c>
      <c r="B5" s="219" t="s">
        <v>642</v>
      </c>
      <c r="C5" s="219" t="s">
        <v>643</v>
      </c>
      <c r="D5" s="219" t="s">
        <v>644</v>
      </c>
      <c r="E5" s="220" t="s">
        <v>645</v>
      </c>
      <c r="F5" s="219" t="s">
        <v>54</v>
      </c>
      <c r="G5" s="199" t="s">
        <v>2858</v>
      </c>
    </row>
    <row r="6" spans="1:10" s="46" customFormat="1" ht="13" x14ac:dyDescent="0.3">
      <c r="A6" s="40" t="s">
        <v>668</v>
      </c>
      <c r="B6" s="208" t="s">
        <v>144</v>
      </c>
      <c r="C6" s="32" t="s">
        <v>144</v>
      </c>
      <c r="D6" s="208" t="s">
        <v>144</v>
      </c>
      <c r="E6" s="41"/>
      <c r="F6" s="55"/>
      <c r="G6" s="60"/>
      <c r="H6" s="64"/>
      <c r="I6" s="60"/>
      <c r="J6" s="60"/>
    </row>
    <row r="7" spans="1:10" ht="13" x14ac:dyDescent="0.3">
      <c r="A7" s="10" t="s">
        <v>863</v>
      </c>
      <c r="B7" s="200" t="s">
        <v>144</v>
      </c>
      <c r="C7" s="2" t="s">
        <v>144</v>
      </c>
      <c r="D7" s="200" t="s">
        <v>144</v>
      </c>
      <c r="E7" s="11"/>
      <c r="F7" s="55"/>
      <c r="G7" s="60"/>
      <c r="H7" s="64"/>
    </row>
    <row r="8" spans="1:10" ht="37.5" x14ac:dyDescent="0.3">
      <c r="A8" s="16" t="s">
        <v>2242</v>
      </c>
      <c r="B8" s="200" t="s">
        <v>144</v>
      </c>
      <c r="C8" s="2" t="s">
        <v>144</v>
      </c>
      <c r="D8" s="200" t="s">
        <v>144</v>
      </c>
      <c r="E8" s="10" t="s">
        <v>581</v>
      </c>
      <c r="F8" s="55"/>
      <c r="G8" s="60"/>
      <c r="H8" s="64"/>
    </row>
    <row r="9" spans="1:10" ht="25" x14ac:dyDescent="0.3">
      <c r="A9" s="16" t="s">
        <v>2243</v>
      </c>
      <c r="B9" s="200" t="s">
        <v>144</v>
      </c>
      <c r="C9" s="2" t="s">
        <v>144</v>
      </c>
      <c r="D9" s="200" t="s">
        <v>144</v>
      </c>
      <c r="E9" s="16" t="s">
        <v>2807</v>
      </c>
      <c r="F9" s="55"/>
      <c r="G9" s="60"/>
      <c r="H9" s="64"/>
    </row>
    <row r="10" spans="1:10" ht="25" x14ac:dyDescent="0.3">
      <c r="A10" s="16" t="s">
        <v>2244</v>
      </c>
      <c r="B10" s="200" t="s">
        <v>144</v>
      </c>
      <c r="C10" s="2" t="s">
        <v>144</v>
      </c>
      <c r="D10" s="200" t="s">
        <v>144</v>
      </c>
      <c r="E10" s="10" t="s">
        <v>220</v>
      </c>
      <c r="F10" s="55"/>
      <c r="G10" s="60"/>
      <c r="H10" s="64"/>
    </row>
    <row r="11" spans="1:10" ht="62.5" x14ac:dyDescent="0.3">
      <c r="A11" s="16" t="s">
        <v>2354</v>
      </c>
      <c r="B11" s="200" t="s">
        <v>144</v>
      </c>
      <c r="C11" s="2" t="s">
        <v>144</v>
      </c>
      <c r="D11" s="200" t="s">
        <v>144</v>
      </c>
      <c r="E11" s="16" t="s">
        <v>2245</v>
      </c>
      <c r="F11" s="55"/>
      <c r="G11" s="95"/>
      <c r="H11" s="64"/>
    </row>
    <row r="12" spans="1:10" ht="25" x14ac:dyDescent="0.3">
      <c r="A12" s="16" t="s">
        <v>2124</v>
      </c>
      <c r="B12" s="200" t="s">
        <v>144</v>
      </c>
      <c r="C12" s="2" t="s">
        <v>144</v>
      </c>
      <c r="D12" s="200" t="s">
        <v>144</v>
      </c>
      <c r="E12" s="16" t="s">
        <v>2808</v>
      </c>
      <c r="F12" s="55"/>
      <c r="G12" s="60"/>
      <c r="H12" s="64"/>
    </row>
    <row r="13" spans="1:10" ht="37.5" x14ac:dyDescent="0.3">
      <c r="A13" s="10" t="s">
        <v>257</v>
      </c>
      <c r="B13" s="200" t="s">
        <v>144</v>
      </c>
      <c r="C13" s="2" t="s">
        <v>144</v>
      </c>
      <c r="D13" s="200" t="s">
        <v>144</v>
      </c>
      <c r="E13" s="16" t="s">
        <v>1709</v>
      </c>
      <c r="F13" s="55"/>
      <c r="G13" s="60"/>
      <c r="H13" s="64"/>
    </row>
    <row r="14" spans="1:10" ht="37.5" x14ac:dyDescent="0.3">
      <c r="A14" s="10" t="s">
        <v>457</v>
      </c>
      <c r="B14" s="200" t="s">
        <v>144</v>
      </c>
      <c r="C14" s="2" t="s">
        <v>144</v>
      </c>
      <c r="D14" s="200" t="s">
        <v>144</v>
      </c>
      <c r="E14" s="10" t="s">
        <v>221</v>
      </c>
      <c r="F14" s="55"/>
      <c r="G14" s="60"/>
      <c r="H14" s="64"/>
    </row>
    <row r="15" spans="1:10" ht="25" x14ac:dyDescent="0.3">
      <c r="A15" s="16" t="s">
        <v>2246</v>
      </c>
      <c r="B15" s="200" t="s">
        <v>144</v>
      </c>
      <c r="C15" s="2" t="s">
        <v>144</v>
      </c>
      <c r="D15" s="200" t="s">
        <v>144</v>
      </c>
      <c r="E15" s="10" t="s">
        <v>2247</v>
      </c>
      <c r="F15" s="55"/>
      <c r="G15" s="60"/>
      <c r="H15" s="64"/>
    </row>
    <row r="16" spans="1:10" ht="25" x14ac:dyDescent="0.3">
      <c r="A16" s="79" t="s">
        <v>1868</v>
      </c>
      <c r="B16" s="200" t="s">
        <v>144</v>
      </c>
      <c r="C16" s="2" t="s">
        <v>144</v>
      </c>
      <c r="D16" s="200" t="s">
        <v>144</v>
      </c>
      <c r="E16" s="11"/>
      <c r="F16" s="55"/>
      <c r="G16" s="60"/>
      <c r="H16" s="64"/>
    </row>
    <row r="17" spans="1:8" ht="26.25" customHeight="1" x14ac:dyDescent="0.3">
      <c r="A17" s="79" t="s">
        <v>1759</v>
      </c>
      <c r="B17" s="200" t="s">
        <v>144</v>
      </c>
      <c r="C17" s="2" t="s">
        <v>144</v>
      </c>
      <c r="D17" s="200" t="s">
        <v>144</v>
      </c>
      <c r="E17" s="11"/>
      <c r="F17" s="55"/>
      <c r="G17" s="60"/>
      <c r="H17" s="64"/>
    </row>
    <row r="18" spans="1:8" ht="13" x14ac:dyDescent="0.3">
      <c r="A18" s="79" t="s">
        <v>1299</v>
      </c>
      <c r="B18" s="200" t="s">
        <v>144</v>
      </c>
      <c r="C18" s="2" t="s">
        <v>144</v>
      </c>
      <c r="D18" s="200" t="s">
        <v>144</v>
      </c>
      <c r="E18" s="11"/>
      <c r="F18" s="55"/>
      <c r="G18" s="60"/>
      <c r="H18" s="64"/>
    </row>
    <row r="19" spans="1:8" ht="25" x14ac:dyDescent="0.3">
      <c r="A19" s="15" t="s">
        <v>243</v>
      </c>
      <c r="B19" s="200" t="s">
        <v>144</v>
      </c>
      <c r="C19" s="2" t="s">
        <v>144</v>
      </c>
      <c r="D19" s="200" t="s">
        <v>144</v>
      </c>
      <c r="E19" s="11"/>
      <c r="F19" s="55"/>
      <c r="G19" s="60"/>
      <c r="H19" s="64"/>
    </row>
    <row r="20" spans="1:8" ht="13" x14ac:dyDescent="0.3">
      <c r="A20" s="10" t="s">
        <v>547</v>
      </c>
      <c r="B20" s="200" t="s">
        <v>646</v>
      </c>
      <c r="C20" s="2" t="s">
        <v>843</v>
      </c>
      <c r="D20" s="200" t="s">
        <v>843</v>
      </c>
      <c r="E20" s="11"/>
      <c r="F20" s="55"/>
      <c r="G20" s="60"/>
      <c r="H20" s="64"/>
    </row>
    <row r="21" spans="1:8" ht="25" x14ac:dyDescent="0.3">
      <c r="A21" s="16" t="s">
        <v>1552</v>
      </c>
      <c r="B21" s="200" t="s">
        <v>646</v>
      </c>
      <c r="C21" s="2" t="s">
        <v>646</v>
      </c>
      <c r="D21" s="200" t="s">
        <v>843</v>
      </c>
      <c r="E21" s="16" t="s">
        <v>70</v>
      </c>
      <c r="F21" s="55"/>
      <c r="G21" s="95"/>
      <c r="H21" s="64"/>
    </row>
    <row r="22" spans="1:8" ht="50" x14ac:dyDescent="0.3">
      <c r="A22" s="16" t="s">
        <v>2355</v>
      </c>
      <c r="B22" s="200" t="s">
        <v>646</v>
      </c>
      <c r="C22" s="2" t="s">
        <v>646</v>
      </c>
      <c r="D22" s="200" t="s">
        <v>843</v>
      </c>
      <c r="E22" s="127" t="s">
        <v>2322</v>
      </c>
      <c r="F22" s="55"/>
      <c r="G22" s="95"/>
      <c r="H22" s="64"/>
    </row>
    <row r="23" spans="1:8" ht="25" x14ac:dyDescent="0.3">
      <c r="A23" s="16" t="s">
        <v>2356</v>
      </c>
      <c r="B23" s="200" t="s">
        <v>646</v>
      </c>
      <c r="C23" s="2" t="s">
        <v>843</v>
      </c>
      <c r="D23" s="200" t="s">
        <v>843</v>
      </c>
      <c r="F23" s="55"/>
      <c r="G23" s="60"/>
      <c r="H23" s="64"/>
    </row>
    <row r="24" spans="1:8" ht="25" x14ac:dyDescent="0.3">
      <c r="A24" s="16" t="s">
        <v>2724</v>
      </c>
      <c r="B24" s="200" t="s">
        <v>646</v>
      </c>
      <c r="C24" s="2" t="s">
        <v>843</v>
      </c>
      <c r="D24" s="200" t="s">
        <v>843</v>
      </c>
      <c r="E24" s="10" t="s">
        <v>223</v>
      </c>
      <c r="F24" s="55"/>
      <c r="G24" s="60"/>
      <c r="H24" s="64"/>
    </row>
    <row r="25" spans="1:8" ht="25" x14ac:dyDescent="0.3">
      <c r="A25" s="16" t="s">
        <v>1869</v>
      </c>
      <c r="B25" s="200" t="s">
        <v>646</v>
      </c>
      <c r="C25" s="2" t="s">
        <v>646</v>
      </c>
      <c r="D25" s="200" t="s">
        <v>843</v>
      </c>
      <c r="E25" s="16" t="s">
        <v>2125</v>
      </c>
      <c r="F25" s="55"/>
      <c r="G25" s="60"/>
      <c r="H25" s="64"/>
    </row>
    <row r="26" spans="1:8" ht="37.5" customHeight="1" x14ac:dyDescent="0.3">
      <c r="A26" s="16" t="s">
        <v>2248</v>
      </c>
      <c r="B26" s="200" t="s">
        <v>646</v>
      </c>
      <c r="C26" s="2" t="s">
        <v>646</v>
      </c>
      <c r="D26" s="200" t="s">
        <v>843</v>
      </c>
      <c r="E26" s="16" t="s">
        <v>2249</v>
      </c>
      <c r="F26" s="55"/>
      <c r="G26" s="60"/>
      <c r="H26" s="64"/>
    </row>
    <row r="27" spans="1:8" ht="25" x14ac:dyDescent="0.3">
      <c r="A27" s="16" t="s">
        <v>2323</v>
      </c>
      <c r="B27" s="200" t="s">
        <v>646</v>
      </c>
      <c r="C27" s="2" t="s">
        <v>646</v>
      </c>
      <c r="D27" s="200"/>
      <c r="E27" s="16" t="s">
        <v>2324</v>
      </c>
      <c r="F27" s="55"/>
      <c r="G27" s="60"/>
      <c r="H27" s="64"/>
    </row>
    <row r="28" spans="1:8" ht="25" x14ac:dyDescent="0.3">
      <c r="A28" s="16" t="s">
        <v>2809</v>
      </c>
      <c r="B28" s="200" t="s">
        <v>646</v>
      </c>
      <c r="C28" s="2" t="s">
        <v>646</v>
      </c>
      <c r="D28" s="200"/>
      <c r="E28" s="11" t="s">
        <v>225</v>
      </c>
      <c r="F28" s="55"/>
      <c r="G28" s="95"/>
      <c r="H28" s="64"/>
    </row>
    <row r="29" spans="1:8" ht="13" x14ac:dyDescent="0.3">
      <c r="A29" s="79" t="s">
        <v>1300</v>
      </c>
      <c r="B29" s="200" t="s">
        <v>646</v>
      </c>
      <c r="C29" s="2" t="s">
        <v>646</v>
      </c>
      <c r="D29" s="200"/>
      <c r="E29" s="10" t="s">
        <v>224</v>
      </c>
      <c r="F29" s="55"/>
      <c r="G29" s="60"/>
      <c r="H29" s="64"/>
    </row>
    <row r="30" spans="1:8" ht="25" x14ac:dyDescent="0.3">
      <c r="A30" s="79" t="s">
        <v>2325</v>
      </c>
      <c r="B30" s="200" t="s">
        <v>646</v>
      </c>
      <c r="C30" s="2" t="s">
        <v>646</v>
      </c>
      <c r="D30" s="200"/>
      <c r="E30" s="16" t="s">
        <v>2326</v>
      </c>
      <c r="F30" s="55"/>
      <c r="G30" s="60"/>
      <c r="H30" s="64"/>
    </row>
    <row r="31" spans="1:8" ht="25" x14ac:dyDescent="0.3">
      <c r="A31" s="79" t="s">
        <v>1301</v>
      </c>
      <c r="B31" s="200" t="s">
        <v>646</v>
      </c>
      <c r="C31" s="2" t="s">
        <v>646</v>
      </c>
      <c r="D31" s="200"/>
      <c r="E31" s="10" t="s">
        <v>226</v>
      </c>
      <c r="F31" s="55"/>
      <c r="G31" s="60"/>
      <c r="H31" s="64"/>
    </row>
    <row r="32" spans="1:8" ht="25" x14ac:dyDescent="0.3">
      <c r="A32" s="79" t="s">
        <v>2327</v>
      </c>
      <c r="B32" s="200" t="s">
        <v>646</v>
      </c>
      <c r="C32" s="2"/>
      <c r="D32" s="200"/>
      <c r="E32" s="16" t="s">
        <v>570</v>
      </c>
      <c r="F32" s="55"/>
      <c r="G32" s="60"/>
      <c r="H32" s="64"/>
    </row>
    <row r="33" spans="1:8" ht="25" x14ac:dyDescent="0.3">
      <c r="A33" s="79" t="s">
        <v>2725</v>
      </c>
      <c r="B33" s="200" t="s">
        <v>646</v>
      </c>
      <c r="C33" s="2"/>
      <c r="D33" s="200"/>
      <c r="E33" s="16"/>
      <c r="F33" s="55"/>
      <c r="G33" s="60"/>
      <c r="H33" s="64"/>
    </row>
    <row r="34" spans="1:8" ht="25" x14ac:dyDescent="0.3">
      <c r="A34" s="79" t="s">
        <v>2456</v>
      </c>
      <c r="B34" s="200" t="s">
        <v>646</v>
      </c>
      <c r="C34" s="2"/>
      <c r="D34" s="200"/>
      <c r="E34" s="16" t="s">
        <v>570</v>
      </c>
      <c r="F34" s="55"/>
      <c r="G34" s="60"/>
      <c r="H34" s="64"/>
    </row>
    <row r="35" spans="1:8" ht="13" x14ac:dyDescent="0.3">
      <c r="A35" s="79" t="s">
        <v>1302</v>
      </c>
      <c r="B35" s="200" t="s">
        <v>646</v>
      </c>
      <c r="C35" s="2"/>
      <c r="D35" s="200"/>
      <c r="E35" s="16" t="s">
        <v>2328</v>
      </c>
      <c r="F35" s="55"/>
      <c r="G35" s="60"/>
      <c r="H35" s="64"/>
    </row>
    <row r="36" spans="1:8" ht="25" x14ac:dyDescent="0.3">
      <c r="A36" s="79" t="s">
        <v>1303</v>
      </c>
      <c r="B36" s="200" t="s">
        <v>646</v>
      </c>
      <c r="C36" s="2"/>
      <c r="D36" s="200"/>
      <c r="E36" s="16" t="s">
        <v>2330</v>
      </c>
      <c r="F36" s="55"/>
      <c r="G36" s="60"/>
      <c r="H36" s="64"/>
    </row>
    <row r="37" spans="1:8" ht="25" x14ac:dyDescent="0.3">
      <c r="A37" s="79" t="s">
        <v>1304</v>
      </c>
      <c r="B37" s="200" t="s">
        <v>646</v>
      </c>
      <c r="C37" s="2"/>
      <c r="D37" s="200"/>
      <c r="E37" s="16" t="s">
        <v>2331</v>
      </c>
      <c r="F37" s="55"/>
      <c r="G37" s="60"/>
      <c r="H37" s="64"/>
    </row>
    <row r="38" spans="1:8" ht="25" x14ac:dyDescent="0.3">
      <c r="A38" s="105" t="s">
        <v>440</v>
      </c>
      <c r="B38" s="209" t="s">
        <v>646</v>
      </c>
      <c r="C38" s="4"/>
      <c r="D38" s="209"/>
      <c r="E38" s="17" t="s">
        <v>2332</v>
      </c>
      <c r="F38" s="55"/>
      <c r="G38" s="95"/>
      <c r="H38" s="64"/>
    </row>
    <row r="39" spans="1:8" ht="13" x14ac:dyDescent="0.25">
      <c r="A39" s="5"/>
      <c r="G39" s="60"/>
    </row>
  </sheetData>
  <sheetProtection algorithmName="SHA-512" hashValue="YuXqfHRTtr0F6O9+n5j3GRri8ESXEAf9oOSzgBFqJBbQp+CVZHaDoue7VX2As4daUbY0JQYi2/IZ90E8UbdCfg==" saltValue="EOtOo6gzvAQnZDIXLh2aYw==" spinCount="100000" sheet="1" objects="1" scenarios="1" autoFilter="0"/>
  <autoFilter ref="B5:G38" xr:uid="{00000000-0009-0000-0000-000011000000}"/>
  <customSheetViews>
    <customSheetView guid="{33D191C9-AE75-45EC-B301-B583C3381734}" showGridLines="0" fitToPage="1" printArea="1" showAutoFilter="1">
      <pane ySplit="5" topLeftCell="A18" activePane="bottomLeft" state="frozen"/>
      <selection pane="bottomLeft"/>
      <pageMargins left="0.75" right="0.75" top="1" bottom="1" header="0.5" footer="0.5"/>
      <pageSetup paperSize="9" scale="82" fitToHeight="100" orientation="landscape" r:id="rId1"/>
      <headerFooter alignWithMargins="0"/>
      <autoFilter ref="B1:G1" xr:uid="{D0FF568A-FD7D-4CA0-BF31-4578EA04E6D9}"/>
    </customSheetView>
  </customSheetViews>
  <mergeCells count="1">
    <mergeCell ref="B4:F4"/>
  </mergeCells>
  <phoneticPr fontId="2" type="noConversion"/>
  <dataValidations count="1">
    <dataValidation type="list" allowBlank="1" showInputMessage="1" showErrorMessage="1" sqref="F6:F38" xr:uid="{00000000-0002-0000-1100-000000000000}">
      <formula1>"Akkoord,Opmerking,N.v.t.,,"</formula1>
    </dataValidation>
  </dataValidations>
  <hyperlinks>
    <hyperlink ref="A6" location="'Belasting naar de winst'!A4" display="Algemeen" xr:uid="{00000000-0004-0000-1100-000000000000}"/>
    <hyperlink ref="A5" location="'Belasting naar de winst'!A2" display="Belastingen naar de winst" xr:uid="{00000000-0004-0000-1100-000001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8437"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lad17">
    <tabColor rgb="FF951B81"/>
    <pageSetUpPr fitToPage="1"/>
  </sheetPr>
  <dimension ref="A1:J20"/>
  <sheetViews>
    <sheetView showGridLines="0" zoomScaleNormal="100" workbookViewId="0">
      <pane ySplit="5" topLeftCell="A6" activePane="bottomLeft" state="frozen"/>
      <selection activeCell="A119" sqref="A119"/>
      <selection pane="bottomLeft"/>
    </sheetView>
  </sheetViews>
  <sheetFormatPr defaultColWidth="9.1796875" defaultRowHeight="13" x14ac:dyDescent="0.25"/>
  <cols>
    <col min="1" max="1" width="60.7265625" style="6" customWidth="1"/>
    <col min="2" max="2" width="10.7265625" style="1" customWidth="1"/>
    <col min="3" max="3" width="10.81640625" style="1" customWidth="1"/>
    <col min="4" max="4" width="8.453125" style="1" customWidth="1"/>
    <col min="5" max="5" width="10.7265625" style="6" customWidth="1"/>
    <col min="6" max="6" width="10.7265625" style="58" customWidth="1"/>
    <col min="7" max="7" width="26.7265625" style="60"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B4" s="252" t="str">
        <f>CONCATENATE("Klant en boekjaar: ",Klantnummer,"; ",Naam_klant,";  ",Boekjaar)</f>
        <v xml:space="preserve">Klant en boekjaar: ; ;  </v>
      </c>
      <c r="C4" s="253"/>
      <c r="D4" s="253"/>
      <c r="E4" s="253"/>
      <c r="F4" s="253"/>
    </row>
    <row r="5" spans="1:10" ht="15.5" x14ac:dyDescent="0.25">
      <c r="A5" s="204" t="s">
        <v>267</v>
      </c>
      <c r="B5" s="197" t="s">
        <v>642</v>
      </c>
      <c r="C5" s="197" t="s">
        <v>643</v>
      </c>
      <c r="D5" s="197" t="s">
        <v>644</v>
      </c>
      <c r="E5" s="198" t="s">
        <v>645</v>
      </c>
      <c r="F5" s="197" t="s">
        <v>54</v>
      </c>
      <c r="G5" s="199" t="s">
        <v>2858</v>
      </c>
    </row>
    <row r="6" spans="1:10" ht="37.5" x14ac:dyDescent="0.3">
      <c r="A6" s="31" t="s">
        <v>458</v>
      </c>
      <c r="B6" s="208" t="s">
        <v>144</v>
      </c>
      <c r="C6" s="32" t="s">
        <v>144</v>
      </c>
      <c r="D6" s="208" t="s">
        <v>144</v>
      </c>
      <c r="E6" s="27" t="s">
        <v>228</v>
      </c>
      <c r="F6" s="55"/>
      <c r="H6" s="64"/>
    </row>
    <row r="7" spans="1:10" x14ac:dyDescent="0.3">
      <c r="A7" s="10" t="s">
        <v>227</v>
      </c>
      <c r="B7" s="200"/>
      <c r="C7" s="2"/>
      <c r="D7" s="200" t="s">
        <v>144</v>
      </c>
      <c r="E7" s="2" t="s">
        <v>1312</v>
      </c>
      <c r="F7" s="55"/>
      <c r="H7" s="64"/>
    </row>
    <row r="8" spans="1:10" ht="15.75" customHeight="1" x14ac:dyDescent="0.3">
      <c r="A8" s="16" t="s">
        <v>1099</v>
      </c>
      <c r="B8" s="200" t="s">
        <v>144</v>
      </c>
      <c r="C8" s="2" t="s">
        <v>144</v>
      </c>
      <c r="D8" s="200" t="s">
        <v>144</v>
      </c>
      <c r="E8" s="16" t="s">
        <v>1577</v>
      </c>
      <c r="F8" s="55"/>
      <c r="H8" s="64"/>
    </row>
    <row r="9" spans="1:10" x14ac:dyDescent="0.3">
      <c r="A9" s="79" t="s">
        <v>1305</v>
      </c>
      <c r="B9" s="200" t="s">
        <v>144</v>
      </c>
      <c r="C9" s="2" t="s">
        <v>144</v>
      </c>
      <c r="D9" s="200" t="s">
        <v>144</v>
      </c>
      <c r="E9" s="11"/>
      <c r="F9" s="55"/>
      <c r="H9" s="64"/>
    </row>
    <row r="10" spans="1:10" ht="15.75" customHeight="1" x14ac:dyDescent="0.3">
      <c r="A10" s="79" t="s">
        <v>1306</v>
      </c>
      <c r="B10" s="200" t="s">
        <v>144</v>
      </c>
      <c r="C10" s="2" t="s">
        <v>144</v>
      </c>
      <c r="D10" s="200" t="s">
        <v>144</v>
      </c>
      <c r="E10" s="11"/>
      <c r="F10" s="55"/>
      <c r="H10" s="64"/>
    </row>
    <row r="11" spans="1:10" ht="14.25" customHeight="1" x14ac:dyDescent="0.3">
      <c r="A11" s="15" t="s">
        <v>244</v>
      </c>
      <c r="B11" s="200" t="s">
        <v>144</v>
      </c>
      <c r="C11" s="2" t="s">
        <v>144</v>
      </c>
      <c r="D11" s="200" t="s">
        <v>144</v>
      </c>
      <c r="E11" s="11"/>
      <c r="F11" s="55"/>
      <c r="H11" s="64"/>
    </row>
    <row r="12" spans="1:10" ht="13.5" customHeight="1" x14ac:dyDescent="0.3">
      <c r="A12" s="16" t="s">
        <v>2457</v>
      </c>
      <c r="B12" s="200" t="s">
        <v>646</v>
      </c>
      <c r="C12" s="2" t="s">
        <v>843</v>
      </c>
      <c r="D12" s="200" t="s">
        <v>843</v>
      </c>
      <c r="E12" s="10" t="s">
        <v>229</v>
      </c>
      <c r="F12" s="55"/>
      <c r="H12" s="64"/>
    </row>
    <row r="13" spans="1:10" x14ac:dyDescent="0.3">
      <c r="A13" s="79" t="s">
        <v>1307</v>
      </c>
      <c r="B13" s="200" t="s">
        <v>646</v>
      </c>
      <c r="C13" s="2" t="s">
        <v>843</v>
      </c>
      <c r="D13" s="200" t="s">
        <v>843</v>
      </c>
      <c r="E13" s="11"/>
      <c r="F13" s="55"/>
      <c r="H13" s="64"/>
    </row>
    <row r="14" spans="1:10" x14ac:dyDescent="0.3">
      <c r="A14" s="79" t="s">
        <v>1308</v>
      </c>
      <c r="B14" s="200" t="s">
        <v>646</v>
      </c>
      <c r="C14" s="2" t="s">
        <v>843</v>
      </c>
      <c r="D14" s="200" t="s">
        <v>843</v>
      </c>
      <c r="E14" s="11"/>
      <c r="F14" s="55"/>
      <c r="H14" s="64"/>
    </row>
    <row r="15" spans="1:10" x14ac:dyDescent="0.3">
      <c r="A15" s="79" t="s">
        <v>1309</v>
      </c>
      <c r="B15" s="200" t="s">
        <v>646</v>
      </c>
      <c r="C15" s="2" t="s">
        <v>843</v>
      </c>
      <c r="D15" s="200" t="s">
        <v>843</v>
      </c>
      <c r="E15" s="11"/>
      <c r="F15" s="55"/>
      <c r="H15" s="64"/>
    </row>
    <row r="16" spans="1:10" x14ac:dyDescent="0.3">
      <c r="A16" s="79" t="s">
        <v>1310</v>
      </c>
      <c r="B16" s="200" t="s">
        <v>646</v>
      </c>
      <c r="C16" s="2" t="s">
        <v>843</v>
      </c>
      <c r="D16" s="200" t="s">
        <v>843</v>
      </c>
      <c r="E16" s="11"/>
      <c r="F16" s="55"/>
      <c r="H16" s="64"/>
    </row>
    <row r="17" spans="1:8" ht="14.25" customHeight="1" x14ac:dyDescent="0.3">
      <c r="A17" s="79" t="s">
        <v>1760</v>
      </c>
      <c r="B17" s="200" t="s">
        <v>646</v>
      </c>
      <c r="C17" s="2" t="s">
        <v>843</v>
      </c>
      <c r="D17" s="200" t="s">
        <v>843</v>
      </c>
      <c r="E17" s="10" t="s">
        <v>230</v>
      </c>
      <c r="F17" s="55"/>
      <c r="H17" s="64"/>
    </row>
    <row r="18" spans="1:8" x14ac:dyDescent="0.3">
      <c r="A18" s="79" t="s">
        <v>1311</v>
      </c>
      <c r="B18" s="200" t="s">
        <v>646</v>
      </c>
      <c r="C18" s="2"/>
      <c r="D18" s="200"/>
      <c r="E18" s="11"/>
      <c r="F18" s="55"/>
      <c r="H18" s="64"/>
    </row>
    <row r="19" spans="1:8" x14ac:dyDescent="0.3">
      <c r="A19" s="80" t="s">
        <v>245</v>
      </c>
      <c r="B19" s="209" t="s">
        <v>646</v>
      </c>
      <c r="C19" s="4"/>
      <c r="D19" s="209"/>
      <c r="E19" s="13"/>
      <c r="F19" s="55"/>
      <c r="H19" s="64"/>
    </row>
    <row r="20" spans="1:8" x14ac:dyDescent="0.25">
      <c r="A20" s="5"/>
    </row>
  </sheetData>
  <sheetProtection algorithmName="SHA-512" hashValue="9Ts6/Q+aolC+iAH9a9AC5Vy7KMBJuSf8gtA+zDvFURZt/ekVNkcTMyfK3wG+RzyLLI5M8ZXaqLBXynd8hBJaYw==" saltValue="jNAKNtmUmbylfN9CCStAKQ==" spinCount="100000" sheet="1" objects="1" scenarios="1" autoFilter="0"/>
  <autoFilter ref="B5:G19" xr:uid="{00000000-0009-0000-0000-000012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3" fitToHeight="100" orientation="landscape" r:id="rId1"/>
      <headerFooter alignWithMargins="0"/>
      <autoFilter ref="B1:G1" xr:uid="{E67CDDE7-4E66-493F-B53A-9DDAE84C4709}"/>
    </customSheetView>
  </customSheetViews>
  <mergeCells count="1">
    <mergeCell ref="B4:F4"/>
  </mergeCells>
  <phoneticPr fontId="2" type="noConversion"/>
  <dataValidations count="1">
    <dataValidation type="list" allowBlank="1" showInputMessage="1" showErrorMessage="1" sqref="F6:F19" xr:uid="{00000000-0002-0000-1200-000000000000}">
      <formula1>"Akkoord,Opmerking,N.v.t.,,"</formula1>
    </dataValidation>
  </dataValidations>
  <hyperlinks>
    <hyperlink ref="A5" location="'Beeindiging bedr.activiteiten'!A2" display="BEEINDIGING VAN BEDRIJFSACTIVITEITEN" xr:uid="{00000000-0004-0000-1200-000000000000}"/>
  </hyperlinks>
  <pageMargins left="0.75" right="0.75" top="1" bottom="1" header="0.5" footer="0.5"/>
  <pageSetup paperSize="9" scale="83"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64"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Blad18">
    <tabColor rgb="FF951B81"/>
    <pageSetUpPr fitToPage="1"/>
  </sheetPr>
  <dimension ref="A1:J11"/>
  <sheetViews>
    <sheetView showGridLines="0" zoomScaleNormal="100" workbookViewId="0">
      <pane ySplit="5" topLeftCell="A6" activePane="bottomLeft" state="frozen"/>
      <selection activeCell="A119" sqref="A119"/>
      <selection pane="bottomLeft"/>
    </sheetView>
  </sheetViews>
  <sheetFormatPr defaultColWidth="9.1796875" defaultRowHeight="13" x14ac:dyDescent="0.25"/>
  <cols>
    <col min="1" max="1" width="60.7265625" style="1" customWidth="1"/>
    <col min="2" max="2" width="10.7265625" style="1" customWidth="1"/>
    <col min="3" max="3" width="10.81640625" style="1" customWidth="1"/>
    <col min="4" max="4" width="8.453125" style="1" customWidth="1"/>
    <col min="5" max="5" width="10.7265625" style="1" customWidth="1"/>
    <col min="6" max="6" width="10.7265625" style="59" customWidth="1"/>
    <col min="7" max="7" width="23.81640625" style="60" customWidth="1"/>
    <col min="8" max="10" width="9.1796875" style="59"/>
    <col min="11" max="16384" width="9.1796875" style="1"/>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60"/>
      <c r="H4" s="58"/>
      <c r="I4" s="58"/>
      <c r="J4" s="58"/>
    </row>
    <row r="5" spans="1:10" ht="15.5" x14ac:dyDescent="0.25">
      <c r="A5" s="227" t="s">
        <v>270</v>
      </c>
      <c r="B5" s="228" t="s">
        <v>642</v>
      </c>
      <c r="C5" s="228" t="s">
        <v>643</v>
      </c>
      <c r="D5" s="228" t="s">
        <v>644</v>
      </c>
      <c r="E5" s="229" t="s">
        <v>645</v>
      </c>
      <c r="F5" s="230" t="s">
        <v>54</v>
      </c>
      <c r="G5" s="199" t="s">
        <v>2858</v>
      </c>
    </row>
    <row r="6" spans="1:10" ht="37.5" x14ac:dyDescent="0.3">
      <c r="A6" s="31" t="s">
        <v>271</v>
      </c>
      <c r="B6" s="208" t="s">
        <v>646</v>
      </c>
      <c r="C6" s="32"/>
      <c r="D6" s="208"/>
      <c r="E6" s="31" t="s">
        <v>137</v>
      </c>
      <c r="F6" s="55"/>
      <c r="H6" s="64"/>
    </row>
    <row r="7" spans="1:10" ht="25" x14ac:dyDescent="0.3">
      <c r="A7" s="31" t="s">
        <v>459</v>
      </c>
      <c r="B7" s="208" t="s">
        <v>646</v>
      </c>
      <c r="C7" s="32"/>
      <c r="D7" s="208"/>
      <c r="E7" s="31"/>
      <c r="F7" s="55"/>
      <c r="H7" s="64"/>
    </row>
    <row r="8" spans="1:10" ht="25" x14ac:dyDescent="0.3">
      <c r="A8" s="16" t="s">
        <v>2726</v>
      </c>
      <c r="B8" s="200" t="s">
        <v>646</v>
      </c>
      <c r="C8" s="2"/>
      <c r="D8" s="200"/>
      <c r="E8" s="16" t="s">
        <v>231</v>
      </c>
      <c r="F8" s="55"/>
      <c r="H8" s="64"/>
    </row>
    <row r="9" spans="1:10" ht="25" x14ac:dyDescent="0.3">
      <c r="A9" s="98" t="s">
        <v>1870</v>
      </c>
      <c r="B9" s="222"/>
      <c r="C9" s="93" t="s">
        <v>647</v>
      </c>
      <c r="D9" s="200"/>
      <c r="E9" s="98" t="s">
        <v>1871</v>
      </c>
      <c r="F9" s="55"/>
      <c r="H9" s="64"/>
    </row>
    <row r="10" spans="1:10" ht="25" x14ac:dyDescent="0.3">
      <c r="A10" s="17" t="s">
        <v>2727</v>
      </c>
      <c r="B10" s="209"/>
      <c r="C10" s="17" t="s">
        <v>646</v>
      </c>
      <c r="D10" s="209"/>
      <c r="E10" s="17" t="s">
        <v>232</v>
      </c>
      <c r="F10" s="55"/>
      <c r="H10" s="64"/>
    </row>
    <row r="11" spans="1:10" ht="15.75" customHeight="1" x14ac:dyDescent="0.3">
      <c r="A11" s="17" t="s">
        <v>1872</v>
      </c>
      <c r="B11" s="209"/>
      <c r="C11" s="17"/>
      <c r="D11" s="209" t="s">
        <v>647</v>
      </c>
      <c r="E11" s="17" t="s">
        <v>397</v>
      </c>
      <c r="F11" s="55"/>
      <c r="H11" s="64"/>
    </row>
  </sheetData>
  <sheetProtection algorithmName="SHA-512" hashValue="nah/uCFpaukkL1SDJqKfHzMZxwBBY2R85ATifHDV40P3cvf4syU0W+dRRZRePS5HhF2qEH/ENpNSQn4jfiTZTQ==" saltValue="Pqf9xmrMBwPMB5VZPXCNEw==" spinCount="100000" sheet="1" objects="1" scenarios="1" autoFilter="0"/>
  <autoFilter ref="B5:G11" xr:uid="{00000000-0009-0000-0000-000013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2" fitToHeight="100" orientation="landscape" r:id="rId1"/>
      <headerFooter alignWithMargins="0"/>
      <autoFilter ref="B1:G1" xr:uid="{38FABE03-1A31-45E9-B5DA-F1B4FE6A2F34}"/>
    </customSheetView>
  </customSheetViews>
  <mergeCells count="1">
    <mergeCell ref="B4:F4"/>
  </mergeCells>
  <phoneticPr fontId="2" type="noConversion"/>
  <dataValidations count="1">
    <dataValidation type="list" allowBlank="1" showInputMessage="1" showErrorMessage="1" sqref="F6:F10" xr:uid="{00000000-0002-0000-1300-000000000000}">
      <formula1>"Akkoord,Opmerking,N.v.t.,,"</formula1>
    </dataValidation>
  </dataValidations>
  <hyperlinks>
    <hyperlink ref="A5" location="'Verbonden partijen'!A2" display="VERBONDEN PARTIJEN" xr:uid="{00000000-0004-0000-1300-000000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8"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Blad19">
    <tabColor rgb="FF951B81"/>
    <pageSetUpPr fitToPage="1"/>
  </sheetPr>
  <dimension ref="A1:J39"/>
  <sheetViews>
    <sheetView showGridLines="0" zoomScaleNormal="100" workbookViewId="0">
      <pane ySplit="5" topLeftCell="A23" activePane="bottomLeft" state="frozen"/>
      <selection activeCell="A119" sqref="A119"/>
      <selection pane="bottomLeft" activeCell="A35" sqref="A35"/>
    </sheetView>
  </sheetViews>
  <sheetFormatPr defaultColWidth="9.1796875" defaultRowHeight="13" x14ac:dyDescent="0.25"/>
  <cols>
    <col min="1" max="1" width="60.7265625" style="5" customWidth="1"/>
    <col min="2" max="2" width="10.7265625" style="1" customWidth="1"/>
    <col min="3" max="3" width="10.81640625" style="1" customWidth="1"/>
    <col min="4" max="4" width="8.453125" style="1" customWidth="1"/>
    <col min="5" max="5" width="10.7265625" style="6" customWidth="1"/>
    <col min="6" max="6" width="10.7265625" style="58" customWidth="1"/>
    <col min="7" max="7" width="26.453125" style="60"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6" t="str">
        <f>CONCATENATE("Klant en boekjaar: ",Klantnummer,"; ",Naam_klant,";  ",Boekjaar)</f>
        <v xml:space="preserve">Klant en boekjaar: ; ;  </v>
      </c>
      <c r="C4" s="255"/>
      <c r="D4" s="255"/>
      <c r="E4" s="255"/>
      <c r="F4" s="255"/>
    </row>
    <row r="5" spans="1:10" ht="15.5" x14ac:dyDescent="0.25">
      <c r="A5" s="218" t="s">
        <v>423</v>
      </c>
      <c r="B5" s="219" t="s">
        <v>642</v>
      </c>
      <c r="C5" s="219" t="s">
        <v>643</v>
      </c>
      <c r="D5" s="219" t="s">
        <v>644</v>
      </c>
      <c r="E5" s="220" t="s">
        <v>645</v>
      </c>
      <c r="F5" s="219" t="s">
        <v>54</v>
      </c>
      <c r="G5" s="199" t="s">
        <v>2858</v>
      </c>
    </row>
    <row r="6" spans="1:10" x14ac:dyDescent="0.3">
      <c r="A6" s="27" t="s">
        <v>546</v>
      </c>
      <c r="B6" s="208" t="s">
        <v>144</v>
      </c>
      <c r="C6" s="32" t="s">
        <v>144</v>
      </c>
      <c r="D6" s="208" t="s">
        <v>144</v>
      </c>
      <c r="E6" s="32" t="s">
        <v>2587</v>
      </c>
      <c r="F6" s="55"/>
      <c r="H6" s="64"/>
    </row>
    <row r="7" spans="1:10" ht="50" x14ac:dyDescent="0.3">
      <c r="A7" s="10" t="s">
        <v>233</v>
      </c>
      <c r="B7" s="200" t="s">
        <v>144</v>
      </c>
      <c r="C7" s="2" t="s">
        <v>144</v>
      </c>
      <c r="D7" s="200" t="s">
        <v>144</v>
      </c>
      <c r="E7" s="10" t="s">
        <v>329</v>
      </c>
      <c r="F7" s="55"/>
      <c r="H7" s="64"/>
    </row>
    <row r="8" spans="1:10" ht="57.65" customHeight="1" x14ac:dyDescent="0.3">
      <c r="A8" s="16" t="s">
        <v>2937</v>
      </c>
      <c r="B8" s="200" t="s">
        <v>144</v>
      </c>
      <c r="C8" s="2" t="s">
        <v>144</v>
      </c>
      <c r="D8" s="200" t="s">
        <v>144</v>
      </c>
      <c r="E8" s="10" t="s">
        <v>2938</v>
      </c>
      <c r="F8" s="55"/>
      <c r="G8" s="60" t="s">
        <v>993</v>
      </c>
      <c r="H8" s="64"/>
    </row>
    <row r="9" spans="1:10" ht="77.25" customHeight="1" x14ac:dyDescent="0.3">
      <c r="A9" s="16" t="s">
        <v>2939</v>
      </c>
      <c r="B9" s="200" t="s">
        <v>144</v>
      </c>
      <c r="C9" s="2" t="s">
        <v>144</v>
      </c>
      <c r="D9" s="200" t="s">
        <v>144</v>
      </c>
      <c r="E9" s="10" t="s">
        <v>2940</v>
      </c>
      <c r="F9" s="55"/>
      <c r="G9" s="60" t="s">
        <v>993</v>
      </c>
      <c r="H9" s="64"/>
    </row>
    <row r="10" spans="1:10" ht="37.5" x14ac:dyDescent="0.3">
      <c r="A10" s="16" t="s">
        <v>1553</v>
      </c>
      <c r="B10" s="200" t="s">
        <v>646</v>
      </c>
      <c r="C10" s="2" t="s">
        <v>646</v>
      </c>
      <c r="D10" s="200"/>
      <c r="E10" s="10" t="s">
        <v>330</v>
      </c>
      <c r="F10" s="55"/>
      <c r="H10" s="64"/>
    </row>
    <row r="11" spans="1:10" ht="105.75" customHeight="1" x14ac:dyDescent="0.3">
      <c r="A11" s="16" t="s">
        <v>1554</v>
      </c>
      <c r="B11" s="200" t="s">
        <v>144</v>
      </c>
      <c r="C11" s="2" t="s">
        <v>144</v>
      </c>
      <c r="D11" s="200"/>
      <c r="E11" s="16" t="s">
        <v>330</v>
      </c>
      <c r="F11" s="55"/>
      <c r="H11" s="64"/>
    </row>
    <row r="12" spans="1:10" s="46" customFormat="1" x14ac:dyDescent="0.3">
      <c r="A12" s="34" t="s">
        <v>871</v>
      </c>
      <c r="B12" s="200" t="s">
        <v>144</v>
      </c>
      <c r="C12" s="2" t="s">
        <v>144</v>
      </c>
      <c r="D12" s="200"/>
      <c r="E12" s="36"/>
      <c r="F12" s="55"/>
      <c r="G12" s="60"/>
      <c r="H12" s="64"/>
      <c r="I12" s="60"/>
      <c r="J12" s="60"/>
    </row>
    <row r="13" spans="1:10" ht="25" x14ac:dyDescent="0.3">
      <c r="A13" s="79" t="s">
        <v>1761</v>
      </c>
      <c r="B13" s="200" t="s">
        <v>144</v>
      </c>
      <c r="C13" s="2" t="s">
        <v>144</v>
      </c>
      <c r="D13" s="200"/>
      <c r="E13" s="10" t="s">
        <v>331</v>
      </c>
      <c r="F13" s="55"/>
      <c r="H13" s="64"/>
    </row>
    <row r="14" spans="1:10" ht="25" x14ac:dyDescent="0.3">
      <c r="A14" s="79" t="s">
        <v>1762</v>
      </c>
      <c r="B14" s="200" t="s">
        <v>144</v>
      </c>
      <c r="C14" s="2" t="s">
        <v>144</v>
      </c>
      <c r="D14" s="200"/>
      <c r="E14" s="10" t="s">
        <v>332</v>
      </c>
      <c r="F14" s="55"/>
      <c r="H14" s="64"/>
    </row>
    <row r="15" spans="1:10" ht="25" x14ac:dyDescent="0.3">
      <c r="A15" s="15" t="s">
        <v>246</v>
      </c>
      <c r="B15" s="200" t="s">
        <v>144</v>
      </c>
      <c r="C15" s="2" t="s">
        <v>144</v>
      </c>
      <c r="D15" s="200"/>
      <c r="E15" s="10" t="s">
        <v>333</v>
      </c>
      <c r="F15" s="55"/>
      <c r="H15" s="64"/>
    </row>
    <row r="16" spans="1:10" s="46" customFormat="1" x14ac:dyDescent="0.3">
      <c r="A16" s="34" t="s">
        <v>872</v>
      </c>
      <c r="B16" s="200" t="s">
        <v>144</v>
      </c>
      <c r="C16" s="2" t="s">
        <v>144</v>
      </c>
      <c r="D16" s="200"/>
      <c r="E16" s="36"/>
      <c r="F16" s="55"/>
      <c r="G16" s="60"/>
      <c r="H16" s="64"/>
      <c r="I16" s="60"/>
      <c r="J16" s="60"/>
    </row>
    <row r="17" spans="1:8" ht="25" x14ac:dyDescent="0.3">
      <c r="A17" s="79" t="s">
        <v>2126</v>
      </c>
      <c r="B17" s="200" t="s">
        <v>144</v>
      </c>
      <c r="C17" s="2" t="s">
        <v>144</v>
      </c>
      <c r="D17" s="200"/>
      <c r="E17" s="10" t="s">
        <v>334</v>
      </c>
      <c r="F17" s="55"/>
      <c r="H17" s="64"/>
    </row>
    <row r="18" spans="1:8" ht="37.5" x14ac:dyDescent="0.3">
      <c r="A18" s="15" t="s">
        <v>247</v>
      </c>
      <c r="B18" s="200" t="s">
        <v>144</v>
      </c>
      <c r="C18" s="2" t="s">
        <v>144</v>
      </c>
      <c r="D18" s="200"/>
      <c r="E18" s="10" t="s">
        <v>335</v>
      </c>
      <c r="F18" s="55"/>
      <c r="H18" s="64"/>
    </row>
    <row r="19" spans="1:8" x14ac:dyDescent="0.3">
      <c r="A19" s="10" t="s">
        <v>547</v>
      </c>
      <c r="B19" s="200" t="s">
        <v>646</v>
      </c>
      <c r="C19" s="2" t="s">
        <v>646</v>
      </c>
      <c r="D19" s="200"/>
      <c r="E19" s="11"/>
      <c r="F19" s="55"/>
      <c r="H19" s="64"/>
    </row>
    <row r="20" spans="1:8" ht="25" x14ac:dyDescent="0.3">
      <c r="A20" s="10" t="s">
        <v>460</v>
      </c>
      <c r="B20" s="200" t="s">
        <v>646</v>
      </c>
      <c r="C20" s="2" t="s">
        <v>646</v>
      </c>
      <c r="D20" s="200"/>
      <c r="E20" s="10" t="s">
        <v>336</v>
      </c>
      <c r="F20" s="55"/>
      <c r="H20" s="64"/>
    </row>
    <row r="21" spans="1:8" ht="50" x14ac:dyDescent="0.3">
      <c r="A21" s="10" t="s">
        <v>418</v>
      </c>
      <c r="B21" s="200" t="s">
        <v>646</v>
      </c>
      <c r="C21" s="2" t="s">
        <v>646</v>
      </c>
      <c r="D21" s="200"/>
      <c r="E21" s="10" t="s">
        <v>337</v>
      </c>
      <c r="F21" s="55"/>
      <c r="H21" s="64"/>
    </row>
    <row r="22" spans="1:8" ht="137.5" x14ac:dyDescent="0.3">
      <c r="A22" s="16" t="s">
        <v>2458</v>
      </c>
      <c r="B22" s="200" t="s">
        <v>646</v>
      </c>
      <c r="C22" s="2" t="s">
        <v>646</v>
      </c>
      <c r="D22" s="200"/>
      <c r="E22" s="10" t="s">
        <v>338</v>
      </c>
      <c r="F22" s="55"/>
      <c r="H22" s="64"/>
    </row>
    <row r="23" spans="1:8" ht="37.5" x14ac:dyDescent="0.3">
      <c r="A23" s="10" t="s">
        <v>6</v>
      </c>
      <c r="B23" s="200" t="s">
        <v>646</v>
      </c>
      <c r="C23" s="2" t="s">
        <v>646</v>
      </c>
      <c r="D23" s="200"/>
      <c r="E23" s="10" t="s">
        <v>339</v>
      </c>
      <c r="F23" s="55"/>
      <c r="H23" s="64"/>
    </row>
    <row r="24" spans="1:8" ht="25" x14ac:dyDescent="0.3">
      <c r="A24" s="16" t="s">
        <v>2127</v>
      </c>
      <c r="B24" s="200" t="s">
        <v>646</v>
      </c>
      <c r="C24" s="2" t="s">
        <v>646</v>
      </c>
      <c r="D24" s="200"/>
      <c r="E24" s="10" t="s">
        <v>340</v>
      </c>
      <c r="F24" s="55"/>
      <c r="H24" s="64"/>
    </row>
    <row r="25" spans="1:8" ht="25" x14ac:dyDescent="0.3">
      <c r="A25" s="10" t="s">
        <v>7</v>
      </c>
      <c r="B25" s="200" t="s">
        <v>646</v>
      </c>
      <c r="C25" s="2" t="s">
        <v>646</v>
      </c>
      <c r="D25" s="200"/>
      <c r="E25" s="10" t="s">
        <v>341</v>
      </c>
      <c r="F25" s="55"/>
      <c r="H25" s="64"/>
    </row>
    <row r="26" spans="1:8" ht="25" x14ac:dyDescent="0.3">
      <c r="A26" s="16" t="s">
        <v>2128</v>
      </c>
      <c r="B26" s="200" t="s">
        <v>646</v>
      </c>
      <c r="C26" s="2" t="s">
        <v>646</v>
      </c>
      <c r="D26" s="200"/>
      <c r="E26" s="11"/>
      <c r="F26" s="55"/>
      <c r="H26" s="64"/>
    </row>
    <row r="27" spans="1:8" ht="25" x14ac:dyDescent="0.3">
      <c r="A27" s="10" t="s">
        <v>8</v>
      </c>
      <c r="B27" s="200" t="s">
        <v>646</v>
      </c>
      <c r="C27" s="2" t="s">
        <v>646</v>
      </c>
      <c r="D27" s="200"/>
      <c r="E27" s="10" t="s">
        <v>340</v>
      </c>
      <c r="F27" s="55"/>
      <c r="H27" s="64"/>
    </row>
    <row r="28" spans="1:8" ht="25" x14ac:dyDescent="0.3">
      <c r="A28" s="16" t="s">
        <v>2129</v>
      </c>
      <c r="B28" s="200" t="s">
        <v>646</v>
      </c>
      <c r="C28" s="2" t="s">
        <v>646</v>
      </c>
      <c r="D28" s="200"/>
      <c r="E28" s="10" t="s">
        <v>2130</v>
      </c>
      <c r="F28" s="55"/>
      <c r="H28" s="64"/>
    </row>
    <row r="29" spans="1:8" ht="37.5" x14ac:dyDescent="0.3">
      <c r="A29" s="10" t="s">
        <v>9</v>
      </c>
      <c r="B29" s="200" t="s">
        <v>646</v>
      </c>
      <c r="C29" s="2" t="s">
        <v>646</v>
      </c>
      <c r="D29" s="200"/>
      <c r="E29" s="10" t="s">
        <v>342</v>
      </c>
      <c r="F29" s="55"/>
      <c r="H29" s="64"/>
    </row>
    <row r="30" spans="1:8" ht="25" x14ac:dyDescent="0.3">
      <c r="A30" s="16" t="s">
        <v>1010</v>
      </c>
      <c r="B30" s="200" t="s">
        <v>646</v>
      </c>
      <c r="C30" s="2" t="s">
        <v>646</v>
      </c>
      <c r="D30" s="200"/>
      <c r="E30" s="10" t="s">
        <v>343</v>
      </c>
      <c r="F30" s="55"/>
      <c r="H30" s="64"/>
    </row>
    <row r="31" spans="1:8" ht="37.5" x14ac:dyDescent="0.3">
      <c r="A31" s="15" t="s">
        <v>248</v>
      </c>
      <c r="B31" s="200" t="s">
        <v>646</v>
      </c>
      <c r="C31" s="2" t="s">
        <v>646</v>
      </c>
      <c r="D31" s="200"/>
      <c r="E31" s="11"/>
      <c r="F31" s="55"/>
      <c r="H31" s="64"/>
    </row>
    <row r="32" spans="1:8" x14ac:dyDescent="0.3">
      <c r="A32" s="15" t="s">
        <v>249</v>
      </c>
      <c r="B32" s="200" t="s">
        <v>646</v>
      </c>
      <c r="C32" s="2" t="s">
        <v>646</v>
      </c>
      <c r="D32" s="200"/>
      <c r="E32" s="11"/>
      <c r="F32" s="55"/>
      <c r="H32" s="64"/>
    </row>
    <row r="33" spans="1:10" ht="37.5" x14ac:dyDescent="0.3">
      <c r="A33" s="16" t="s">
        <v>1763</v>
      </c>
      <c r="B33" s="200" t="s">
        <v>646</v>
      </c>
      <c r="C33" s="2" t="s">
        <v>646</v>
      </c>
      <c r="D33" s="200"/>
      <c r="E33" s="10" t="s">
        <v>344</v>
      </c>
      <c r="F33" s="55"/>
      <c r="H33" s="64"/>
    </row>
    <row r="34" spans="1:10" ht="220.9" customHeight="1" x14ac:dyDescent="0.3">
      <c r="A34" s="16" t="s">
        <v>2459</v>
      </c>
      <c r="B34" s="200" t="s">
        <v>646</v>
      </c>
      <c r="C34" s="2" t="s">
        <v>646</v>
      </c>
      <c r="D34" s="200"/>
      <c r="E34" s="10" t="s">
        <v>34</v>
      </c>
      <c r="F34" s="55"/>
      <c r="H34" s="64"/>
    </row>
    <row r="35" spans="1:10" s="46" customFormat="1" x14ac:dyDescent="0.3">
      <c r="A35" s="34" t="s">
        <v>258</v>
      </c>
      <c r="B35" s="200" t="s">
        <v>646</v>
      </c>
      <c r="C35" s="2" t="s">
        <v>646</v>
      </c>
      <c r="D35" s="200"/>
      <c r="E35" s="36"/>
      <c r="F35" s="55"/>
      <c r="G35" s="60"/>
      <c r="H35" s="64"/>
      <c r="I35" s="60"/>
      <c r="J35" s="60"/>
    </row>
    <row r="36" spans="1:10" ht="87.5" x14ac:dyDescent="0.3">
      <c r="A36" s="16" t="s">
        <v>2728</v>
      </c>
      <c r="B36" s="200" t="s">
        <v>646</v>
      </c>
      <c r="C36" s="2" t="s">
        <v>646</v>
      </c>
      <c r="D36" s="200"/>
      <c r="E36" s="10" t="s">
        <v>35</v>
      </c>
      <c r="F36" s="55"/>
      <c r="H36" s="64"/>
    </row>
    <row r="37" spans="1:10" ht="25" x14ac:dyDescent="0.3">
      <c r="A37" s="10" t="s">
        <v>328</v>
      </c>
      <c r="B37" s="200" t="s">
        <v>646</v>
      </c>
      <c r="C37" s="2" t="s">
        <v>646</v>
      </c>
      <c r="D37" s="200"/>
      <c r="E37" s="10" t="s">
        <v>36</v>
      </c>
      <c r="F37" s="55"/>
      <c r="H37" s="64"/>
    </row>
    <row r="38" spans="1:10" ht="25" x14ac:dyDescent="0.3">
      <c r="A38" s="16" t="s">
        <v>37</v>
      </c>
      <c r="B38" s="200" t="s">
        <v>646</v>
      </c>
      <c r="C38" s="2" t="s">
        <v>646</v>
      </c>
      <c r="D38" s="200"/>
      <c r="E38" s="10" t="s">
        <v>39</v>
      </c>
      <c r="F38" s="55"/>
      <c r="H38" s="64"/>
    </row>
    <row r="39" spans="1:10" ht="50" x14ac:dyDescent="0.3">
      <c r="A39" s="12" t="s">
        <v>38</v>
      </c>
      <c r="B39" s="209" t="s">
        <v>646</v>
      </c>
      <c r="C39" s="4" t="s">
        <v>646</v>
      </c>
      <c r="D39" s="209"/>
      <c r="E39" s="12" t="s">
        <v>40</v>
      </c>
      <c r="F39" s="55"/>
      <c r="H39" s="64"/>
    </row>
  </sheetData>
  <sheetProtection algorithmName="SHA-512" hashValue="USKksRxYuF1KebKJxj8JzP7KxwHPrMrRPeRW1LPy8dkty2hEjmdpf6MSKfohE4RRiMatefVTVSUzx88akWp9jw==" saltValue="YgVM9Sb8xqSX64t66I7Zyw==" spinCount="100000" sheet="1" objects="1" scenarios="1" autoFilter="0"/>
  <autoFilter ref="B5:G39" xr:uid="{00000000-0009-0000-0000-000014000000}"/>
  <customSheetViews>
    <customSheetView guid="{33D191C9-AE75-45EC-B301-B583C3381734}" showGridLines="0" fitToPage="1" printArea="1" showAutoFilter="1">
      <pane ySplit="5" topLeftCell="A21" activePane="bottomLeft" state="frozen"/>
      <selection pane="bottomLeft"/>
      <pageMargins left="0.75" right="0.75" top="1" bottom="1" header="0.5" footer="0.5"/>
      <pageSetup paperSize="9" scale="82" fitToHeight="100" orientation="landscape" r:id="rId1"/>
      <headerFooter alignWithMargins="0"/>
      <autoFilter ref="B1:G1" xr:uid="{04CF1A0E-BA4D-4B15-AD4C-FB3CC68AC2B1}"/>
    </customSheetView>
  </customSheetViews>
  <mergeCells count="1">
    <mergeCell ref="B4:F4"/>
  </mergeCells>
  <phoneticPr fontId="2" type="noConversion"/>
  <dataValidations count="1">
    <dataValidation type="list" allowBlank="1" showInputMessage="1" showErrorMessage="1" sqref="F6:F39" xr:uid="{00000000-0002-0000-1400-000000000000}">
      <formula1>"Akkoord,Opmerking,N.v.t.,,"</formula1>
    </dataValidation>
  </dataValidations>
  <hyperlinks>
    <hyperlink ref="A12" location="Kasstroomoverzicht!A8" display="ONDERDELEN" xr:uid="{00000000-0004-0000-1400-000000000000}"/>
    <hyperlink ref="A16" location="Kasstroomoverzicht!A13" display="Directe en indirecte methode operationele kasstroom" xr:uid="{00000000-0004-0000-1400-000001000000}"/>
    <hyperlink ref="A35" location="Kasstroomoverzicht!A31" display="Toelichting op het kasstroomoverzicht " xr:uid="{00000000-0004-0000-1400-000002000000}"/>
    <hyperlink ref="A5" location="Kasstroomoverzicht!A2" display="KASSTROOMOVERZICHT" xr:uid="{00000000-0004-0000-1400-000003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9"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lad2">
    <tabColor rgb="FF951B81"/>
    <pageSetUpPr fitToPage="1"/>
  </sheetPr>
  <dimension ref="A1:J72"/>
  <sheetViews>
    <sheetView showGridLines="0" zoomScaleNormal="100" workbookViewId="0">
      <pane ySplit="5" topLeftCell="A6" activePane="bottomLeft" state="frozen"/>
      <selection activeCell="A119" sqref="A119"/>
      <selection pane="bottomLeft"/>
    </sheetView>
  </sheetViews>
  <sheetFormatPr defaultColWidth="9.1796875" defaultRowHeight="13" x14ac:dyDescent="0.25"/>
  <cols>
    <col min="1" max="1" width="60.7265625" style="5" customWidth="1"/>
    <col min="2" max="2" width="10.7265625" style="1" customWidth="1"/>
    <col min="3" max="3" width="10.81640625" style="1" customWidth="1"/>
    <col min="4" max="4" width="8.453125" style="1" customWidth="1"/>
    <col min="5" max="5" width="12.81640625" style="5" customWidth="1"/>
    <col min="6" max="6" width="10.7265625" style="58" customWidth="1"/>
    <col min="7" max="7" width="56.81640625" style="60"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s="51" customFormat="1" ht="15.5" x14ac:dyDescent="0.25">
      <c r="A5" s="196" t="s">
        <v>1555</v>
      </c>
      <c r="B5" s="197" t="s">
        <v>642</v>
      </c>
      <c r="C5" s="197" t="s">
        <v>643</v>
      </c>
      <c r="D5" s="197" t="s">
        <v>644</v>
      </c>
      <c r="E5" s="198" t="s">
        <v>645</v>
      </c>
      <c r="F5" s="197" t="s">
        <v>54</v>
      </c>
      <c r="G5" s="199" t="s">
        <v>2858</v>
      </c>
      <c r="H5" s="65"/>
      <c r="I5" s="65"/>
      <c r="J5" s="65"/>
    </row>
    <row r="6" spans="1:10" s="46" customFormat="1" x14ac:dyDescent="0.3">
      <c r="A6" s="33" t="s">
        <v>546</v>
      </c>
      <c r="B6" s="231" t="s">
        <v>646</v>
      </c>
      <c r="C6" s="131" t="s">
        <v>646</v>
      </c>
      <c r="D6" s="231"/>
      <c r="F6" s="55"/>
      <c r="G6" s="60"/>
      <c r="H6" s="64" t="s">
        <v>2182</v>
      </c>
      <c r="I6" s="60"/>
      <c r="J6" s="60"/>
    </row>
    <row r="7" spans="1:10" ht="25" x14ac:dyDescent="0.3">
      <c r="A7" s="16" t="s">
        <v>1764</v>
      </c>
      <c r="B7" s="200" t="s">
        <v>646</v>
      </c>
      <c r="C7" s="2" t="s">
        <v>646</v>
      </c>
      <c r="D7" s="200"/>
      <c r="E7" s="109" t="s">
        <v>648</v>
      </c>
      <c r="F7" s="55"/>
      <c r="H7" s="64" t="s">
        <v>2182</v>
      </c>
    </row>
    <row r="8" spans="1:10" ht="42" customHeight="1" x14ac:dyDescent="0.3">
      <c r="A8" s="16" t="s">
        <v>2977</v>
      </c>
      <c r="B8" s="200" t="s">
        <v>646</v>
      </c>
      <c r="C8" s="2" t="s">
        <v>646</v>
      </c>
      <c r="D8" s="200"/>
      <c r="E8" s="31"/>
      <c r="F8" s="55"/>
      <c r="G8" s="60" t="s">
        <v>1856</v>
      </c>
      <c r="H8" s="64"/>
    </row>
    <row r="9" spans="1:10" ht="25" x14ac:dyDescent="0.3">
      <c r="A9" s="16" t="s">
        <v>2460</v>
      </c>
      <c r="B9" s="200" t="s">
        <v>646</v>
      </c>
      <c r="C9" s="2" t="s">
        <v>646</v>
      </c>
      <c r="D9" s="200"/>
      <c r="E9" s="31"/>
      <c r="F9" s="55"/>
      <c r="H9" s="64"/>
    </row>
    <row r="10" spans="1:10" ht="25" x14ac:dyDescent="0.3">
      <c r="A10" s="16" t="s">
        <v>2461</v>
      </c>
      <c r="B10" s="200" t="s">
        <v>646</v>
      </c>
      <c r="C10" s="2" t="s">
        <v>646</v>
      </c>
      <c r="D10" s="200"/>
      <c r="E10" s="31"/>
      <c r="F10" s="55"/>
      <c r="H10" s="64"/>
    </row>
    <row r="11" spans="1:10" x14ac:dyDescent="0.3">
      <c r="A11" s="16" t="s">
        <v>2462</v>
      </c>
      <c r="B11" s="200" t="s">
        <v>646</v>
      </c>
      <c r="C11" s="2" t="s">
        <v>646</v>
      </c>
      <c r="D11" s="200"/>
      <c r="E11" s="31"/>
      <c r="F11" s="55"/>
      <c r="H11" s="64"/>
    </row>
    <row r="12" spans="1:10" ht="37.5" x14ac:dyDescent="0.3">
      <c r="A12" s="16" t="s">
        <v>2463</v>
      </c>
      <c r="B12" s="200" t="s">
        <v>646</v>
      </c>
      <c r="C12" s="2" t="s">
        <v>646</v>
      </c>
      <c r="D12" s="200"/>
      <c r="E12" s="31"/>
      <c r="F12" s="55"/>
      <c r="H12" s="64"/>
    </row>
    <row r="13" spans="1:10" ht="25" x14ac:dyDescent="0.3">
      <c r="A13" s="16" t="s">
        <v>2985</v>
      </c>
      <c r="B13" s="200" t="s">
        <v>646</v>
      </c>
      <c r="C13" s="2" t="s">
        <v>646</v>
      </c>
      <c r="D13" s="200"/>
      <c r="E13" s="31"/>
      <c r="F13" s="55"/>
      <c r="G13" s="60" t="s">
        <v>1856</v>
      </c>
      <c r="H13" s="64"/>
    </row>
    <row r="14" spans="1:10" ht="75" x14ac:dyDescent="0.3">
      <c r="A14" s="16" t="s">
        <v>2729</v>
      </c>
      <c r="B14" s="200" t="s">
        <v>646</v>
      </c>
      <c r="C14" s="2" t="s">
        <v>646</v>
      </c>
      <c r="D14" s="200"/>
      <c r="E14" s="31"/>
      <c r="F14" s="55"/>
      <c r="H14" s="64"/>
    </row>
    <row r="15" spans="1:10" ht="15" customHeight="1" x14ac:dyDescent="0.3">
      <c r="A15" s="16" t="s">
        <v>1556</v>
      </c>
      <c r="B15" s="200"/>
      <c r="C15" s="2"/>
      <c r="D15" s="200" t="s">
        <v>647</v>
      </c>
      <c r="E15" s="10" t="s">
        <v>759</v>
      </c>
      <c r="F15" s="55"/>
      <c r="H15" s="64" t="s">
        <v>2182</v>
      </c>
    </row>
    <row r="16" spans="1:10" ht="100" x14ac:dyDescent="0.3">
      <c r="A16" s="16" t="s">
        <v>2464</v>
      </c>
      <c r="B16" s="200" t="s">
        <v>646</v>
      </c>
      <c r="C16" s="2" t="s">
        <v>646</v>
      </c>
      <c r="D16" s="200"/>
      <c r="E16" s="10" t="s">
        <v>649</v>
      </c>
      <c r="F16" s="55"/>
      <c r="G16" s="116"/>
      <c r="H16" s="64" t="s">
        <v>2182</v>
      </c>
    </row>
    <row r="17" spans="1:8" ht="66" customHeight="1" x14ac:dyDescent="0.3">
      <c r="A17" s="16" t="s">
        <v>1689</v>
      </c>
      <c r="B17" s="200" t="s">
        <v>646</v>
      </c>
      <c r="C17" s="2" t="s">
        <v>646</v>
      </c>
      <c r="D17" s="200"/>
      <c r="E17" s="10" t="s">
        <v>650</v>
      </c>
      <c r="F17" s="55"/>
      <c r="H17" s="64" t="s">
        <v>2182</v>
      </c>
    </row>
    <row r="18" spans="1:8" ht="50" x14ac:dyDescent="0.3">
      <c r="A18" s="16" t="s">
        <v>1557</v>
      </c>
      <c r="B18" s="200" t="s">
        <v>646</v>
      </c>
      <c r="C18" s="2" t="s">
        <v>646</v>
      </c>
      <c r="D18" s="200"/>
      <c r="E18" s="10" t="s">
        <v>651</v>
      </c>
      <c r="F18" s="55"/>
      <c r="H18" s="64" t="s">
        <v>2182</v>
      </c>
    </row>
    <row r="19" spans="1:8" ht="37.5" x14ac:dyDescent="0.3">
      <c r="A19" s="16" t="s">
        <v>1558</v>
      </c>
      <c r="B19" s="200" t="s">
        <v>646</v>
      </c>
      <c r="C19" s="2" t="s">
        <v>646</v>
      </c>
      <c r="D19" s="200"/>
      <c r="E19" s="10" t="s">
        <v>651</v>
      </c>
      <c r="F19" s="55"/>
      <c r="H19" s="64" t="s">
        <v>2182</v>
      </c>
    </row>
    <row r="20" spans="1:8" x14ac:dyDescent="0.3">
      <c r="A20" s="10" t="s">
        <v>290</v>
      </c>
      <c r="B20" s="200" t="s">
        <v>646</v>
      </c>
      <c r="C20" s="2"/>
      <c r="D20" s="200"/>
      <c r="E20" s="10"/>
      <c r="F20" s="55"/>
      <c r="H20" s="64" t="s">
        <v>2182</v>
      </c>
    </row>
    <row r="21" spans="1:8" ht="37.5" x14ac:dyDescent="0.3">
      <c r="A21" s="16" t="s">
        <v>2465</v>
      </c>
      <c r="B21" s="200" t="s">
        <v>646</v>
      </c>
      <c r="C21" s="2" t="s">
        <v>646</v>
      </c>
      <c r="D21" s="200"/>
      <c r="E21" s="16" t="s">
        <v>2466</v>
      </c>
      <c r="F21" s="55"/>
      <c r="H21" s="64" t="s">
        <v>2182</v>
      </c>
    </row>
    <row r="22" spans="1:8" x14ac:dyDescent="0.3">
      <c r="A22" s="79" t="s">
        <v>1313</v>
      </c>
      <c r="B22" s="200" t="s">
        <v>646</v>
      </c>
      <c r="C22" s="2" t="s">
        <v>646</v>
      </c>
      <c r="D22" s="200"/>
      <c r="E22" s="10"/>
      <c r="F22" s="55"/>
      <c r="H22" s="64" t="s">
        <v>2182</v>
      </c>
    </row>
    <row r="23" spans="1:8" ht="25" x14ac:dyDescent="0.3">
      <c r="A23" s="79" t="s">
        <v>1314</v>
      </c>
      <c r="B23" s="200" t="s">
        <v>646</v>
      </c>
      <c r="C23" s="2" t="s">
        <v>646</v>
      </c>
      <c r="D23" s="200"/>
      <c r="E23" s="10"/>
      <c r="F23" s="55"/>
      <c r="H23" s="64" t="s">
        <v>2182</v>
      </c>
    </row>
    <row r="24" spans="1:8" x14ac:dyDescent="0.3">
      <c r="A24" s="79" t="s">
        <v>1315</v>
      </c>
      <c r="B24" s="200" t="s">
        <v>646</v>
      </c>
      <c r="C24" s="2" t="s">
        <v>646</v>
      </c>
      <c r="D24" s="200"/>
      <c r="E24" s="10"/>
      <c r="F24" s="55"/>
      <c r="H24" s="64" t="s">
        <v>2182</v>
      </c>
    </row>
    <row r="25" spans="1:8" x14ac:dyDescent="0.3">
      <c r="A25" s="79" t="s">
        <v>1316</v>
      </c>
      <c r="B25" s="200" t="s">
        <v>646</v>
      </c>
      <c r="C25" s="2" t="s">
        <v>646</v>
      </c>
      <c r="D25" s="200"/>
      <c r="E25" s="10"/>
      <c r="F25" s="55"/>
      <c r="H25" s="64" t="s">
        <v>2182</v>
      </c>
    </row>
    <row r="26" spans="1:8" x14ac:dyDescent="0.3">
      <c r="A26" s="15" t="s">
        <v>441</v>
      </c>
      <c r="B26" s="200" t="s">
        <v>646</v>
      </c>
      <c r="C26" s="2" t="s">
        <v>646</v>
      </c>
      <c r="D26" s="200"/>
      <c r="E26" s="10"/>
      <c r="F26" s="55"/>
      <c r="H26" s="64" t="s">
        <v>2182</v>
      </c>
    </row>
    <row r="27" spans="1:8" ht="37.5" x14ac:dyDescent="0.3">
      <c r="A27" s="16" t="s">
        <v>2467</v>
      </c>
      <c r="B27" s="200" t="s">
        <v>646</v>
      </c>
      <c r="C27" s="2" t="s">
        <v>646</v>
      </c>
      <c r="D27" s="200"/>
      <c r="E27" s="16" t="s">
        <v>2468</v>
      </c>
      <c r="F27" s="55"/>
      <c r="H27" s="64" t="s">
        <v>2182</v>
      </c>
    </row>
    <row r="28" spans="1:8" x14ac:dyDescent="0.3">
      <c r="A28" s="79" t="s">
        <v>1317</v>
      </c>
      <c r="B28" s="200" t="s">
        <v>646</v>
      </c>
      <c r="C28" s="2" t="s">
        <v>646</v>
      </c>
      <c r="D28" s="200"/>
      <c r="E28" s="10"/>
      <c r="F28" s="55"/>
      <c r="H28" s="64" t="s">
        <v>2182</v>
      </c>
    </row>
    <row r="29" spans="1:8" x14ac:dyDescent="0.3">
      <c r="A29" s="79" t="s">
        <v>1318</v>
      </c>
      <c r="B29" s="200" t="s">
        <v>646</v>
      </c>
      <c r="C29" s="2" t="s">
        <v>646</v>
      </c>
      <c r="D29" s="200"/>
      <c r="E29" s="10"/>
      <c r="F29" s="55"/>
      <c r="H29" s="64" t="s">
        <v>2182</v>
      </c>
    </row>
    <row r="30" spans="1:8" x14ac:dyDescent="0.3">
      <c r="A30" s="79" t="s">
        <v>1319</v>
      </c>
      <c r="B30" s="200" t="s">
        <v>646</v>
      </c>
      <c r="C30" s="2" t="s">
        <v>646</v>
      </c>
      <c r="D30" s="200"/>
      <c r="E30" s="10"/>
      <c r="F30" s="55"/>
      <c r="H30" s="64" t="s">
        <v>2182</v>
      </c>
    </row>
    <row r="31" spans="1:8" x14ac:dyDescent="0.3">
      <c r="A31" s="79" t="s">
        <v>1320</v>
      </c>
      <c r="B31" s="200" t="s">
        <v>646</v>
      </c>
      <c r="C31" s="2" t="s">
        <v>646</v>
      </c>
      <c r="D31" s="200"/>
      <c r="E31" s="10"/>
      <c r="F31" s="55"/>
      <c r="H31" s="64" t="s">
        <v>2182</v>
      </c>
    </row>
    <row r="32" spans="1:8" x14ac:dyDescent="0.3">
      <c r="A32" s="15" t="s">
        <v>442</v>
      </c>
      <c r="B32" s="200" t="s">
        <v>646</v>
      </c>
      <c r="C32" s="2" t="s">
        <v>646</v>
      </c>
      <c r="D32" s="200"/>
      <c r="E32" s="10"/>
      <c r="F32" s="55"/>
      <c r="H32" s="64" t="s">
        <v>2182</v>
      </c>
    </row>
    <row r="33" spans="1:8" ht="43.15" customHeight="1" x14ac:dyDescent="0.3">
      <c r="A33" s="79" t="s">
        <v>2250</v>
      </c>
      <c r="B33" s="200" t="s">
        <v>646</v>
      </c>
      <c r="C33" s="2" t="s">
        <v>646</v>
      </c>
      <c r="D33" s="200"/>
      <c r="E33" s="10"/>
      <c r="F33" s="55"/>
      <c r="H33" s="64"/>
    </row>
    <row r="34" spans="1:8" ht="50" x14ac:dyDescent="0.3">
      <c r="A34" s="10" t="s">
        <v>760</v>
      </c>
      <c r="B34" s="200" t="s">
        <v>646</v>
      </c>
      <c r="C34" s="2" t="s">
        <v>646</v>
      </c>
      <c r="D34" s="200"/>
      <c r="E34" s="16" t="s">
        <v>650</v>
      </c>
      <c r="F34" s="55"/>
      <c r="H34" s="64" t="s">
        <v>2182</v>
      </c>
    </row>
    <row r="35" spans="1:8" ht="50" x14ac:dyDescent="0.3">
      <c r="A35" s="16" t="s">
        <v>2469</v>
      </c>
      <c r="B35" s="200" t="s">
        <v>646</v>
      </c>
      <c r="C35" s="2" t="s">
        <v>646</v>
      </c>
      <c r="D35" s="200"/>
      <c r="E35" s="16" t="s">
        <v>2470</v>
      </c>
      <c r="F35" s="55"/>
      <c r="H35" s="64" t="s">
        <v>2182</v>
      </c>
    </row>
    <row r="36" spans="1:8" ht="37.5" x14ac:dyDescent="0.3">
      <c r="A36" s="16" t="s">
        <v>2471</v>
      </c>
      <c r="B36" s="200" t="s">
        <v>646</v>
      </c>
      <c r="C36" s="2" t="s">
        <v>646</v>
      </c>
      <c r="D36" s="200"/>
      <c r="E36" s="16" t="s">
        <v>2472</v>
      </c>
      <c r="F36" s="55"/>
      <c r="H36" s="64" t="s">
        <v>2182</v>
      </c>
    </row>
    <row r="37" spans="1:8" x14ac:dyDescent="0.3">
      <c r="A37" s="79" t="s">
        <v>1331</v>
      </c>
      <c r="B37" s="200" t="s">
        <v>646</v>
      </c>
      <c r="C37" s="2" t="s">
        <v>646</v>
      </c>
      <c r="D37" s="200"/>
      <c r="E37" s="10"/>
      <c r="F37" s="55"/>
      <c r="H37" s="64" t="s">
        <v>2182</v>
      </c>
    </row>
    <row r="38" spans="1:8" x14ac:dyDescent="0.3">
      <c r="A38" s="79" t="s">
        <v>1332</v>
      </c>
      <c r="B38" s="200" t="s">
        <v>646</v>
      </c>
      <c r="C38" s="2" t="s">
        <v>646</v>
      </c>
      <c r="D38" s="200"/>
      <c r="E38" s="10"/>
      <c r="F38" s="55"/>
      <c r="H38" s="64" t="s">
        <v>2182</v>
      </c>
    </row>
    <row r="39" spans="1:8" x14ac:dyDescent="0.3">
      <c r="A39" s="79" t="s">
        <v>1333</v>
      </c>
      <c r="B39" s="200" t="s">
        <v>646</v>
      </c>
      <c r="C39" s="2" t="s">
        <v>646</v>
      </c>
      <c r="D39" s="200"/>
      <c r="E39" s="10"/>
      <c r="F39" s="55"/>
      <c r="H39" s="64" t="s">
        <v>2182</v>
      </c>
    </row>
    <row r="40" spans="1:8" ht="25" x14ac:dyDescent="0.3">
      <c r="A40" s="79" t="s">
        <v>641</v>
      </c>
      <c r="B40" s="200" t="s">
        <v>646</v>
      </c>
      <c r="C40" s="2" t="s">
        <v>646</v>
      </c>
      <c r="D40" s="200"/>
      <c r="E40" s="10"/>
      <c r="F40" s="55"/>
      <c r="H40" s="64" t="s">
        <v>2182</v>
      </c>
    </row>
    <row r="41" spans="1:8" x14ac:dyDescent="0.3">
      <c r="A41" s="16" t="s">
        <v>1873</v>
      </c>
      <c r="B41" s="200" t="s">
        <v>646</v>
      </c>
      <c r="C41" s="2" t="s">
        <v>646</v>
      </c>
      <c r="D41" s="200"/>
      <c r="E41" s="10"/>
      <c r="F41" s="55"/>
      <c r="H41" s="64" t="s">
        <v>2182</v>
      </c>
    </row>
    <row r="42" spans="1:8" x14ac:dyDescent="0.3">
      <c r="A42" s="120" t="s">
        <v>1874</v>
      </c>
      <c r="B42" s="200" t="s">
        <v>646</v>
      </c>
      <c r="C42" s="2" t="s">
        <v>646</v>
      </c>
      <c r="D42" s="200"/>
      <c r="E42" s="10"/>
      <c r="F42" s="60"/>
      <c r="H42" s="64" t="s">
        <v>2182</v>
      </c>
    </row>
    <row r="43" spans="1:8" ht="25" x14ac:dyDescent="0.3">
      <c r="A43" s="16" t="s">
        <v>1875</v>
      </c>
      <c r="B43" s="200" t="s">
        <v>646</v>
      </c>
      <c r="C43" s="2" t="s">
        <v>646</v>
      </c>
      <c r="D43" s="200"/>
      <c r="E43" s="16" t="s">
        <v>2473</v>
      </c>
      <c r="F43" s="55"/>
      <c r="H43" s="64" t="s">
        <v>2182</v>
      </c>
    </row>
    <row r="44" spans="1:8" ht="37.5" x14ac:dyDescent="0.3">
      <c r="A44" s="16" t="s">
        <v>1876</v>
      </c>
      <c r="B44" s="200" t="s">
        <v>646</v>
      </c>
      <c r="C44" s="2" t="s">
        <v>646</v>
      </c>
      <c r="D44" s="200"/>
      <c r="E44" s="16" t="s">
        <v>2474</v>
      </c>
      <c r="F44" s="55"/>
      <c r="G44" s="95"/>
      <c r="H44" s="64" t="s">
        <v>2182</v>
      </c>
    </row>
    <row r="45" spans="1:8" ht="41.25" customHeight="1" x14ac:dyDescent="0.3">
      <c r="A45" s="16" t="s">
        <v>1321</v>
      </c>
      <c r="B45" s="200" t="s">
        <v>646</v>
      </c>
      <c r="C45" s="2" t="s">
        <v>646</v>
      </c>
      <c r="D45" s="200"/>
      <c r="E45" s="16" t="s">
        <v>2474</v>
      </c>
      <c r="F45" s="55"/>
      <c r="H45" s="64" t="s">
        <v>2182</v>
      </c>
    </row>
    <row r="46" spans="1:8" ht="94.5" customHeight="1" x14ac:dyDescent="0.3">
      <c r="A46" s="16" t="s">
        <v>1765</v>
      </c>
      <c r="B46" s="200" t="s">
        <v>646</v>
      </c>
      <c r="C46" s="2" t="s">
        <v>646</v>
      </c>
      <c r="D46" s="200"/>
      <c r="E46" s="16" t="s">
        <v>2594</v>
      </c>
      <c r="F46" s="55"/>
      <c r="H46" s="64" t="s">
        <v>2182</v>
      </c>
    </row>
    <row r="47" spans="1:8" x14ac:dyDescent="0.3">
      <c r="A47" s="35" t="s">
        <v>1063</v>
      </c>
      <c r="B47" s="200" t="s">
        <v>646</v>
      </c>
      <c r="C47" s="2" t="s">
        <v>646</v>
      </c>
      <c r="D47" s="200"/>
      <c r="E47" s="10"/>
      <c r="F47" s="55"/>
      <c r="H47" s="64" t="s">
        <v>2182</v>
      </c>
    </row>
    <row r="48" spans="1:8" ht="53.25" customHeight="1" x14ac:dyDescent="0.3">
      <c r="A48" s="10" t="s">
        <v>761</v>
      </c>
      <c r="B48" s="200" t="s">
        <v>646</v>
      </c>
      <c r="C48" s="2" t="s">
        <v>646</v>
      </c>
      <c r="D48" s="200"/>
      <c r="E48" s="16" t="s">
        <v>2475</v>
      </c>
      <c r="F48" s="55"/>
      <c r="H48" s="64" t="s">
        <v>2182</v>
      </c>
    </row>
    <row r="49" spans="1:8" x14ac:dyDescent="0.3">
      <c r="A49" s="35" t="s">
        <v>2293</v>
      </c>
      <c r="B49" s="200" t="s">
        <v>646</v>
      </c>
      <c r="C49" s="2"/>
      <c r="D49" s="200"/>
      <c r="E49" s="10"/>
      <c r="F49" s="55"/>
      <c r="G49" s="60" t="s">
        <v>1856</v>
      </c>
      <c r="H49" s="64"/>
    </row>
    <row r="50" spans="1:8" ht="25" x14ac:dyDescent="0.3">
      <c r="A50" s="16" t="s">
        <v>767</v>
      </c>
      <c r="B50" s="200" t="s">
        <v>646</v>
      </c>
      <c r="C50" s="2"/>
      <c r="D50" s="200"/>
      <c r="E50" s="16" t="s">
        <v>2476</v>
      </c>
      <c r="F50" s="55"/>
      <c r="G50" s="60" t="s">
        <v>1856</v>
      </c>
      <c r="H50" s="64" t="s">
        <v>2182</v>
      </c>
    </row>
    <row r="51" spans="1:8" x14ac:dyDescent="0.3">
      <c r="A51" s="79" t="s">
        <v>1322</v>
      </c>
      <c r="B51" s="200" t="s">
        <v>646</v>
      </c>
      <c r="C51" s="2" t="s">
        <v>646</v>
      </c>
      <c r="D51" s="200"/>
      <c r="E51" s="10"/>
      <c r="F51" s="55"/>
      <c r="H51" s="64" t="s">
        <v>2182</v>
      </c>
    </row>
    <row r="52" spans="1:8" x14ac:dyDescent="0.3">
      <c r="A52" s="79" t="s">
        <v>1323</v>
      </c>
      <c r="B52" s="200" t="s">
        <v>646</v>
      </c>
      <c r="C52" s="2" t="s">
        <v>646</v>
      </c>
      <c r="D52" s="200"/>
      <c r="E52" s="10"/>
      <c r="F52" s="55"/>
      <c r="H52" s="64" t="s">
        <v>2182</v>
      </c>
    </row>
    <row r="53" spans="1:8" x14ac:dyDescent="0.3">
      <c r="A53" s="79" t="s">
        <v>1324</v>
      </c>
      <c r="B53" s="200" t="s">
        <v>646</v>
      </c>
      <c r="C53" s="2" t="s">
        <v>646</v>
      </c>
      <c r="D53" s="200"/>
      <c r="E53" s="10"/>
      <c r="F53" s="55"/>
      <c r="H53" s="64" t="s">
        <v>2182</v>
      </c>
    </row>
    <row r="54" spans="1:8" x14ac:dyDescent="0.3">
      <c r="A54" s="79" t="s">
        <v>1325</v>
      </c>
      <c r="B54" s="200" t="s">
        <v>646</v>
      </c>
      <c r="C54" s="2" t="s">
        <v>646</v>
      </c>
      <c r="D54" s="200"/>
      <c r="E54" s="10"/>
      <c r="F54" s="55"/>
      <c r="H54" s="64" t="s">
        <v>2182</v>
      </c>
    </row>
    <row r="55" spans="1:8" x14ac:dyDescent="0.3">
      <c r="A55" s="15" t="s">
        <v>443</v>
      </c>
      <c r="B55" s="200" t="s">
        <v>646</v>
      </c>
      <c r="C55" s="2" t="s">
        <v>646</v>
      </c>
      <c r="D55" s="200"/>
      <c r="E55" s="10"/>
      <c r="F55" s="55"/>
      <c r="H55" s="64" t="s">
        <v>2182</v>
      </c>
    </row>
    <row r="56" spans="1:8" x14ac:dyDescent="0.3">
      <c r="A56" s="121" t="s">
        <v>1877</v>
      </c>
      <c r="B56" s="200" t="s">
        <v>646</v>
      </c>
      <c r="C56" s="2" t="s">
        <v>646</v>
      </c>
      <c r="D56" s="200"/>
      <c r="E56" s="10"/>
      <c r="F56" s="55"/>
      <c r="H56" s="64"/>
    </row>
    <row r="57" spans="1:8" ht="29.25" customHeight="1" x14ac:dyDescent="0.3">
      <c r="A57" s="79" t="s">
        <v>2730</v>
      </c>
      <c r="B57" s="200" t="s">
        <v>646</v>
      </c>
      <c r="C57" s="2" t="s">
        <v>646</v>
      </c>
      <c r="D57" s="200"/>
      <c r="E57" s="16" t="s">
        <v>2477</v>
      </c>
      <c r="F57" s="55"/>
      <c r="H57" s="64" t="s">
        <v>2182</v>
      </c>
    </row>
    <row r="58" spans="1:8" x14ac:dyDescent="0.3">
      <c r="A58" s="121" t="s">
        <v>142</v>
      </c>
      <c r="B58" s="200" t="s">
        <v>646</v>
      </c>
      <c r="C58" s="2" t="s">
        <v>646</v>
      </c>
      <c r="D58" s="200"/>
      <c r="E58" s="10"/>
      <c r="F58" s="55"/>
      <c r="H58" s="64" t="s">
        <v>2182</v>
      </c>
    </row>
    <row r="59" spans="1:8" ht="62.5" x14ac:dyDescent="0.3">
      <c r="A59" s="15" t="s">
        <v>1878</v>
      </c>
      <c r="B59" s="200" t="s">
        <v>646</v>
      </c>
      <c r="C59" s="2" t="s">
        <v>646</v>
      </c>
      <c r="D59" s="200"/>
      <c r="E59" s="10" t="s">
        <v>387</v>
      </c>
      <c r="F59" s="55"/>
      <c r="H59" s="64" t="s">
        <v>2182</v>
      </c>
    </row>
    <row r="60" spans="1:8" x14ac:dyDescent="0.3">
      <c r="A60" s="121" t="s">
        <v>1879</v>
      </c>
      <c r="B60" s="200" t="s">
        <v>646</v>
      </c>
      <c r="C60" s="2" t="s">
        <v>646</v>
      </c>
      <c r="D60" s="200"/>
      <c r="E60" s="10"/>
      <c r="F60" s="55"/>
      <c r="H60" s="64" t="s">
        <v>2182</v>
      </c>
    </row>
    <row r="61" spans="1:8" ht="25" x14ac:dyDescent="0.3">
      <c r="A61" s="16" t="s">
        <v>1011</v>
      </c>
      <c r="B61" s="200" t="s">
        <v>646</v>
      </c>
      <c r="C61" s="2" t="s">
        <v>646</v>
      </c>
      <c r="D61" s="200"/>
      <c r="E61" s="10" t="s">
        <v>763</v>
      </c>
      <c r="F61" s="55"/>
      <c r="H61" s="64" t="s">
        <v>2182</v>
      </c>
    </row>
    <row r="62" spans="1:8" x14ac:dyDescent="0.3">
      <c r="A62" s="123" t="s">
        <v>1881</v>
      </c>
      <c r="B62" s="222" t="s">
        <v>646</v>
      </c>
      <c r="C62" s="93" t="s">
        <v>646</v>
      </c>
      <c r="D62" s="222"/>
      <c r="E62" s="122"/>
      <c r="F62" s="55"/>
      <c r="H62" s="64" t="s">
        <v>2182</v>
      </c>
    </row>
    <row r="63" spans="1:8" ht="25" x14ac:dyDescent="0.3">
      <c r="A63" s="98" t="s">
        <v>1559</v>
      </c>
      <c r="B63" s="200" t="s">
        <v>646</v>
      </c>
      <c r="C63" s="2" t="s">
        <v>646</v>
      </c>
      <c r="D63" s="222"/>
      <c r="E63" s="122" t="s">
        <v>762</v>
      </c>
      <c r="F63" s="55"/>
      <c r="H63" s="64" t="s">
        <v>2182</v>
      </c>
    </row>
    <row r="64" spans="1:8" x14ac:dyDescent="0.3">
      <c r="A64" s="124" t="s">
        <v>1326</v>
      </c>
      <c r="B64" s="222" t="s">
        <v>646</v>
      </c>
      <c r="C64" s="93" t="s">
        <v>646</v>
      </c>
      <c r="D64" s="222"/>
      <c r="E64" s="122"/>
      <c r="F64" s="55"/>
      <c r="H64" s="64" t="s">
        <v>2182</v>
      </c>
    </row>
    <row r="65" spans="1:8" x14ac:dyDescent="0.3">
      <c r="A65" s="124" t="s">
        <v>1327</v>
      </c>
      <c r="B65" s="222" t="s">
        <v>646</v>
      </c>
      <c r="C65" s="93" t="s">
        <v>646</v>
      </c>
      <c r="D65" s="222"/>
      <c r="E65" s="122"/>
      <c r="F65" s="55"/>
      <c r="H65" s="64" t="s">
        <v>2182</v>
      </c>
    </row>
    <row r="66" spans="1:8" x14ac:dyDescent="0.3">
      <c r="A66" s="124" t="s">
        <v>1328</v>
      </c>
      <c r="B66" s="222" t="s">
        <v>646</v>
      </c>
      <c r="C66" s="93" t="s">
        <v>646</v>
      </c>
      <c r="D66" s="222"/>
      <c r="E66" s="122"/>
      <c r="F66" s="55"/>
      <c r="H66" s="64" t="s">
        <v>2182</v>
      </c>
    </row>
    <row r="67" spans="1:8" x14ac:dyDescent="0.3">
      <c r="A67" s="124" t="s">
        <v>1329</v>
      </c>
      <c r="B67" s="222" t="s">
        <v>646</v>
      </c>
      <c r="C67" s="93" t="s">
        <v>646</v>
      </c>
      <c r="D67" s="222"/>
      <c r="E67" s="122"/>
      <c r="F67" s="55"/>
      <c r="H67" s="64" t="s">
        <v>2182</v>
      </c>
    </row>
    <row r="68" spans="1:8" x14ac:dyDescent="0.3">
      <c r="A68" s="124" t="s">
        <v>1330</v>
      </c>
      <c r="B68" s="222" t="s">
        <v>646</v>
      </c>
      <c r="C68" s="93" t="s">
        <v>646</v>
      </c>
      <c r="D68" s="222"/>
      <c r="E68" s="122"/>
      <c r="F68" s="55"/>
      <c r="H68" s="64" t="s">
        <v>2182</v>
      </c>
    </row>
    <row r="69" spans="1:8" x14ac:dyDescent="0.3">
      <c r="A69" s="124" t="s">
        <v>1882</v>
      </c>
      <c r="B69" s="222" t="s">
        <v>646</v>
      </c>
      <c r="C69" s="93" t="s">
        <v>646</v>
      </c>
      <c r="D69" s="222"/>
      <c r="E69" s="122"/>
      <c r="F69" s="55"/>
      <c r="H69" s="64" t="s">
        <v>2182</v>
      </c>
    </row>
    <row r="70" spans="1:8" x14ac:dyDescent="0.3">
      <c r="A70" s="124" t="s">
        <v>444</v>
      </c>
      <c r="B70" s="222" t="s">
        <v>646</v>
      </c>
      <c r="C70" s="93" t="s">
        <v>646</v>
      </c>
      <c r="D70" s="222"/>
      <c r="E70" s="122"/>
      <c r="F70" s="55"/>
      <c r="H70" s="64" t="s">
        <v>2182</v>
      </c>
    </row>
    <row r="71" spans="1:8" x14ac:dyDescent="0.3">
      <c r="A71" s="123" t="s">
        <v>1880</v>
      </c>
      <c r="B71" s="222"/>
      <c r="C71" s="93" t="s">
        <v>647</v>
      </c>
      <c r="D71" s="222"/>
      <c r="E71" s="122"/>
      <c r="F71" s="55"/>
      <c r="H71" s="64" t="s">
        <v>2182</v>
      </c>
    </row>
    <row r="72" spans="1:8" ht="25" x14ac:dyDescent="0.3">
      <c r="A72" s="17" t="s">
        <v>2005</v>
      </c>
      <c r="B72" s="209"/>
      <c r="C72" s="4" t="s">
        <v>647</v>
      </c>
      <c r="D72" s="209"/>
      <c r="E72" s="12" t="s">
        <v>768</v>
      </c>
      <c r="F72" s="55"/>
      <c r="H72" s="64" t="s">
        <v>2182</v>
      </c>
    </row>
  </sheetData>
  <sheetProtection algorithmName="SHA-512" hashValue="W1iMExPznCYcQL2UR1g6cByTzpoCe+TMrGdF7hnHhgl50Qj60YyUCWdSRuqdHp0UUx8JW7zh6Ekl2yqQ+bcEdQ==" saltValue="KawaR9SoUwZpPAw7cU/g+A==" spinCount="100000" sheet="1" objects="1" scenarios="1" autoFilter="0"/>
  <autoFilter ref="B5:G72" xr:uid="{00000000-0009-0000-0000-000015000000}"/>
  <customSheetViews>
    <customSheetView guid="{33D191C9-AE75-45EC-B301-B583C3381734}" showGridLines="0" fitToPage="1" printArea="1" showAutoFilter="1">
      <pane ySplit="5" topLeftCell="A42" activePane="bottomLeft" state="frozen"/>
      <selection pane="bottomLeft"/>
      <pageMargins left="0.75" right="0.75" top="1" bottom="1" header="0.5" footer="0.5"/>
      <pageSetup paperSize="9" scale="83" fitToHeight="100" orientation="landscape" r:id="rId1"/>
      <headerFooter alignWithMargins="0"/>
      <autoFilter ref="B1:G1" xr:uid="{116DD70D-2E36-4513-8280-7FDA8F62CAD7}"/>
    </customSheetView>
  </customSheetViews>
  <mergeCells count="1">
    <mergeCell ref="B4:F4"/>
  </mergeCells>
  <phoneticPr fontId="0" type="noConversion"/>
  <dataValidations count="1">
    <dataValidation type="list" allowBlank="1" showInputMessage="1" showErrorMessage="1" sqref="F6:F41 F43:F72" xr:uid="{00000000-0002-0000-1500-000000000000}">
      <formula1>"Akkoord,Opmerking,N.v.t.,,"</formula1>
    </dataValidation>
  </dataValidations>
  <hyperlinks>
    <hyperlink ref="A5" location="Jaarverslag!A1" display="Jaarverslag van de directie" xr:uid="{00000000-0004-0000-1500-000000000000}"/>
    <hyperlink ref="A6" location="Jaarverslag!A3" display="ALGEMEEN" xr:uid="{00000000-0004-0000-1500-000001000000}"/>
  </hyperlinks>
  <pageMargins left="0.75" right="0.75" top="1" bottom="1" header="0.5" footer="0.5"/>
  <pageSetup paperSize="9" scale="83"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65" r:id="rId5" name="Button 17">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Blad22">
    <tabColor rgb="FF951B81"/>
    <pageSetUpPr fitToPage="1"/>
  </sheetPr>
  <dimension ref="A1:J22"/>
  <sheetViews>
    <sheetView showGridLines="0" zoomScaleNormal="100" workbookViewId="0">
      <pane ySplit="5" topLeftCell="A6" activePane="bottomLeft" state="frozen"/>
      <selection activeCell="A119" sqref="A119"/>
      <selection pane="bottomLeft"/>
    </sheetView>
  </sheetViews>
  <sheetFormatPr defaultColWidth="9.1796875" defaultRowHeight="12.5" x14ac:dyDescent="0.25"/>
  <cols>
    <col min="1" max="1" width="60.7265625" style="18" customWidth="1"/>
    <col min="2" max="2" width="10.7265625" style="1" customWidth="1"/>
    <col min="3" max="3" width="10.81640625" style="1" customWidth="1"/>
    <col min="4" max="4" width="8.453125" style="1" customWidth="1"/>
    <col min="5" max="5" width="13" style="1" customWidth="1"/>
    <col min="6" max="6" width="10.7265625" style="59" customWidth="1"/>
    <col min="7" max="7" width="50.54296875" style="59" customWidth="1"/>
    <col min="8" max="10" width="9.1796875" style="59"/>
    <col min="11" max="16384" width="9.1796875" style="1"/>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58"/>
      <c r="H4" s="58"/>
      <c r="I4" s="58"/>
      <c r="J4" s="58"/>
    </row>
    <row r="5" spans="1:10" ht="15.5" x14ac:dyDescent="0.25">
      <c r="A5" s="196" t="s">
        <v>711</v>
      </c>
      <c r="B5" s="197" t="s">
        <v>642</v>
      </c>
      <c r="C5" s="197" t="s">
        <v>643</v>
      </c>
      <c r="D5" s="197" t="s">
        <v>644</v>
      </c>
      <c r="E5" s="232" t="s">
        <v>645</v>
      </c>
      <c r="F5" s="233" t="s">
        <v>54</v>
      </c>
      <c r="G5" s="199" t="s">
        <v>2858</v>
      </c>
    </row>
    <row r="6" spans="1:10" ht="25" x14ac:dyDescent="0.3">
      <c r="A6" s="31" t="s">
        <v>192</v>
      </c>
      <c r="B6" s="200" t="s">
        <v>646</v>
      </c>
      <c r="C6" s="32" t="s">
        <v>646</v>
      </c>
      <c r="D6" s="200"/>
      <c r="E6" s="31" t="s">
        <v>1883</v>
      </c>
      <c r="F6" s="55"/>
      <c r="G6" s="60"/>
      <c r="H6" s="64"/>
    </row>
    <row r="7" spans="1:10" ht="13" x14ac:dyDescent="0.3">
      <c r="A7" s="16" t="s">
        <v>1334</v>
      </c>
      <c r="B7" s="200" t="s">
        <v>646</v>
      </c>
      <c r="C7" s="2" t="s">
        <v>646</v>
      </c>
      <c r="D7" s="200"/>
      <c r="E7" s="16" t="s">
        <v>733</v>
      </c>
      <c r="F7" s="55"/>
      <c r="G7" s="60"/>
      <c r="H7" s="64"/>
    </row>
    <row r="8" spans="1:10" ht="25" x14ac:dyDescent="0.3">
      <c r="A8" s="16" t="s">
        <v>1335</v>
      </c>
      <c r="B8" s="200" t="s">
        <v>1566</v>
      </c>
      <c r="C8" s="2" t="s">
        <v>1566</v>
      </c>
      <c r="D8" s="200"/>
      <c r="E8" s="16" t="s">
        <v>734</v>
      </c>
      <c r="F8" s="55"/>
      <c r="G8" s="60"/>
      <c r="H8" s="64"/>
    </row>
    <row r="9" spans="1:10" ht="37.5" x14ac:dyDescent="0.3">
      <c r="A9" s="16" t="s">
        <v>1560</v>
      </c>
      <c r="B9" s="200" t="s">
        <v>1566</v>
      </c>
      <c r="C9" s="2" t="s">
        <v>1566</v>
      </c>
      <c r="D9" s="200"/>
      <c r="E9" s="16" t="s">
        <v>735</v>
      </c>
      <c r="F9" s="55"/>
      <c r="G9" s="95"/>
      <c r="H9" s="64"/>
    </row>
    <row r="10" spans="1:10" ht="37.5" x14ac:dyDescent="0.3">
      <c r="A10" s="16" t="s">
        <v>1561</v>
      </c>
      <c r="B10" s="200" t="s">
        <v>1566</v>
      </c>
      <c r="C10" s="2" t="s">
        <v>843</v>
      </c>
      <c r="D10" s="200"/>
      <c r="E10" s="16" t="s">
        <v>736</v>
      </c>
      <c r="F10" s="55"/>
      <c r="G10" s="95"/>
      <c r="H10" s="64"/>
    </row>
    <row r="11" spans="1:10" ht="37.5" x14ac:dyDescent="0.3">
      <c r="A11" s="16" t="s">
        <v>1562</v>
      </c>
      <c r="B11" s="200" t="s">
        <v>646</v>
      </c>
      <c r="C11" s="2" t="s">
        <v>843</v>
      </c>
      <c r="D11" s="200"/>
      <c r="E11" s="16" t="s">
        <v>737</v>
      </c>
      <c r="F11" s="55"/>
      <c r="G11" s="95"/>
      <c r="H11" s="64"/>
    </row>
    <row r="12" spans="1:10" ht="37.5" x14ac:dyDescent="0.3">
      <c r="A12" s="16" t="s">
        <v>1884</v>
      </c>
      <c r="B12" s="200" t="s">
        <v>1566</v>
      </c>
      <c r="C12" s="2" t="s">
        <v>646</v>
      </c>
      <c r="D12" s="200"/>
      <c r="E12" s="16" t="s">
        <v>738</v>
      </c>
      <c r="F12" s="55"/>
      <c r="G12" s="95"/>
      <c r="H12" s="64"/>
    </row>
    <row r="13" spans="1:10" ht="50" x14ac:dyDescent="0.3">
      <c r="A13" s="16" t="s">
        <v>2251</v>
      </c>
      <c r="B13" s="200" t="s">
        <v>646</v>
      </c>
      <c r="C13" s="2" t="s">
        <v>646</v>
      </c>
      <c r="D13" s="200"/>
      <c r="E13" s="16" t="s">
        <v>649</v>
      </c>
      <c r="F13" s="55"/>
      <c r="G13" s="95"/>
      <c r="H13" s="64"/>
    </row>
    <row r="14" spans="1:10" ht="25" x14ac:dyDescent="0.3">
      <c r="A14" s="16" t="s">
        <v>1563</v>
      </c>
      <c r="B14" s="200" t="s">
        <v>646</v>
      </c>
      <c r="C14" s="2" t="s">
        <v>646</v>
      </c>
      <c r="D14" s="200"/>
      <c r="E14" s="16" t="s">
        <v>1012</v>
      </c>
      <c r="F14" s="55"/>
      <c r="G14" s="95"/>
      <c r="H14" s="64"/>
    </row>
    <row r="15" spans="1:10" ht="50" x14ac:dyDescent="0.3">
      <c r="A15" s="16" t="s">
        <v>1564</v>
      </c>
      <c r="B15" s="200" t="s">
        <v>646</v>
      </c>
      <c r="C15" s="2" t="s">
        <v>844</v>
      </c>
      <c r="D15" s="200"/>
      <c r="E15" s="16" t="s">
        <v>419</v>
      </c>
      <c r="F15" s="55"/>
      <c r="G15" s="60"/>
      <c r="H15" s="64"/>
    </row>
    <row r="16" spans="1:10" ht="25" x14ac:dyDescent="0.3">
      <c r="A16" s="16" t="s">
        <v>1565</v>
      </c>
      <c r="B16" s="200" t="s">
        <v>646</v>
      </c>
      <c r="C16" s="2" t="s">
        <v>843</v>
      </c>
      <c r="D16" s="200"/>
      <c r="E16" s="16" t="s">
        <v>420</v>
      </c>
      <c r="F16" s="55"/>
      <c r="G16" s="95"/>
      <c r="H16" s="64"/>
    </row>
    <row r="17" spans="1:8" ht="13" x14ac:dyDescent="0.3">
      <c r="A17" s="79" t="s">
        <v>1766</v>
      </c>
      <c r="B17" s="200" t="s">
        <v>646</v>
      </c>
      <c r="C17" s="2" t="s">
        <v>844</v>
      </c>
      <c r="D17" s="200"/>
      <c r="E17" s="2"/>
      <c r="F17" s="55"/>
      <c r="G17" s="95"/>
      <c r="H17" s="64"/>
    </row>
    <row r="18" spans="1:8" ht="25" x14ac:dyDescent="0.3">
      <c r="A18" s="79" t="s">
        <v>2478</v>
      </c>
      <c r="B18" s="200" t="s">
        <v>646</v>
      </c>
      <c r="C18" s="2" t="s">
        <v>844</v>
      </c>
      <c r="D18" s="200"/>
      <c r="E18" s="2"/>
      <c r="F18" s="55"/>
      <c r="G18" s="60"/>
      <c r="H18" s="64"/>
    </row>
    <row r="19" spans="1:8" ht="25" x14ac:dyDescent="0.3">
      <c r="A19" s="17" t="s">
        <v>1885</v>
      </c>
      <c r="B19" s="209"/>
      <c r="C19" s="4"/>
      <c r="D19" s="209" t="s">
        <v>647</v>
      </c>
      <c r="E19" s="17" t="s">
        <v>1886</v>
      </c>
      <c r="F19" s="55"/>
      <c r="G19" s="60"/>
      <c r="H19" s="64"/>
    </row>
    <row r="20" spans="1:8" ht="13" x14ac:dyDescent="0.25">
      <c r="G20" s="60"/>
    </row>
    <row r="21" spans="1:8" ht="13" x14ac:dyDescent="0.25">
      <c r="G21" s="60"/>
    </row>
    <row r="22" spans="1:8" ht="13" x14ac:dyDescent="0.25">
      <c r="G22" s="60"/>
    </row>
  </sheetData>
  <sheetProtection algorithmName="SHA-512" hashValue="aZ7dJvNZZMpaJtIxchvId7BN3a+A1BVed3cCR175T89gwrJAbD/XER6PA4ko9nWTMQmL3OrUQ+ZlkME1F5dVTw==" saltValue="UGdoVQyKbJ9Ke5vB/np8sA==" spinCount="100000" sheet="1" objects="1" scenarios="1" autoFilter="0"/>
  <autoFilter ref="B5:G19" xr:uid="{00000000-0009-0000-0000-000016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2" fitToHeight="100" orientation="landscape" r:id="rId1"/>
      <headerFooter alignWithMargins="0"/>
      <autoFilter ref="B1:G1" xr:uid="{5EFF0E0B-EDB4-435B-9D14-AC89953E954C}"/>
    </customSheetView>
  </customSheetViews>
  <mergeCells count="1">
    <mergeCell ref="B4:F4"/>
  </mergeCells>
  <phoneticPr fontId="2" type="noConversion"/>
  <dataValidations count="1">
    <dataValidation type="list" allowBlank="1" showInputMessage="1" showErrorMessage="1" sqref="F6:F19" xr:uid="{00000000-0002-0000-1600-000000000000}">
      <formula1>"Akkoord,Opmerking,N.v.t.,,"</formula1>
    </dataValidation>
  </dataValidations>
  <hyperlinks>
    <hyperlink ref="A5" location="'Overige gegevens'!A2" display="OVERIGE GEGEVENS" xr:uid="{00000000-0004-0000-1600-000000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4581"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Blad23">
    <tabColor rgb="FF951B81"/>
    <pageSetUpPr fitToPage="1"/>
  </sheetPr>
  <dimension ref="A1:J22"/>
  <sheetViews>
    <sheetView showGridLines="0" zoomScaleNormal="100" workbookViewId="0">
      <pane ySplit="5" topLeftCell="A6" activePane="bottomLeft" state="frozen"/>
      <selection activeCell="A119" sqref="A119"/>
      <selection pane="bottomLeft" activeCell="A7" sqref="A7"/>
    </sheetView>
  </sheetViews>
  <sheetFormatPr defaultColWidth="9.1796875" defaultRowHeight="12.5" x14ac:dyDescent="0.25"/>
  <cols>
    <col min="1" max="1" width="60.7265625" style="18" customWidth="1"/>
    <col min="2" max="2" width="9" style="1" customWidth="1"/>
    <col min="3" max="3" width="10.81640625" style="1" customWidth="1"/>
    <col min="4" max="4" width="8.453125" style="1" customWidth="1"/>
    <col min="5" max="5" width="10.7265625" style="1" customWidth="1"/>
    <col min="6" max="6" width="10.7265625" style="59" customWidth="1"/>
    <col min="7" max="7" width="37" style="59" customWidth="1"/>
    <col min="8" max="10" width="9.1796875" style="59"/>
    <col min="11" max="16384" width="9.1796875" style="1"/>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58"/>
      <c r="H4" s="58"/>
      <c r="I4" s="58"/>
      <c r="J4" s="58"/>
    </row>
    <row r="5" spans="1:10" ht="15.5" x14ac:dyDescent="0.25">
      <c r="A5" s="196" t="s">
        <v>421</v>
      </c>
      <c r="B5" s="197" t="s">
        <v>642</v>
      </c>
      <c r="C5" s="197" t="s">
        <v>643</v>
      </c>
      <c r="D5" s="197" t="s">
        <v>644</v>
      </c>
      <c r="E5" s="232" t="s">
        <v>645</v>
      </c>
      <c r="F5" s="233" t="s">
        <v>54</v>
      </c>
      <c r="G5" s="199" t="s">
        <v>2858</v>
      </c>
    </row>
    <row r="6" spans="1:10" ht="25" x14ac:dyDescent="0.3">
      <c r="A6" s="31" t="s">
        <v>902</v>
      </c>
      <c r="B6" s="208" t="s">
        <v>144</v>
      </c>
      <c r="C6" s="32" t="s">
        <v>144</v>
      </c>
      <c r="D6" s="208" t="s">
        <v>144</v>
      </c>
      <c r="E6" s="31" t="s">
        <v>2588</v>
      </c>
      <c r="F6" s="55"/>
      <c r="G6" s="60"/>
      <c r="H6" s="64" t="s">
        <v>2182</v>
      </c>
    </row>
    <row r="7" spans="1:10" s="46" customFormat="1" ht="26" x14ac:dyDescent="0.3">
      <c r="A7" s="34" t="s">
        <v>712</v>
      </c>
      <c r="B7" s="200" t="s">
        <v>144</v>
      </c>
      <c r="C7" s="2" t="s">
        <v>144</v>
      </c>
      <c r="D7" s="200" t="s">
        <v>144</v>
      </c>
      <c r="E7" s="36"/>
      <c r="F7" s="55"/>
      <c r="G7" s="60"/>
      <c r="H7" s="64" t="s">
        <v>2182</v>
      </c>
      <c r="I7" s="60"/>
      <c r="J7" s="60"/>
    </row>
    <row r="8" spans="1:10" ht="25" x14ac:dyDescent="0.3">
      <c r="A8" s="16" t="s">
        <v>903</v>
      </c>
      <c r="B8" s="200" t="s">
        <v>144</v>
      </c>
      <c r="C8" s="2" t="s">
        <v>144</v>
      </c>
      <c r="D8" s="200" t="s">
        <v>144</v>
      </c>
      <c r="E8" s="16" t="s">
        <v>274</v>
      </c>
      <c r="F8" s="55"/>
      <c r="H8" s="64" t="s">
        <v>2182</v>
      </c>
    </row>
    <row r="9" spans="1:10" ht="37.5" x14ac:dyDescent="0.3">
      <c r="A9" s="16" t="s">
        <v>1887</v>
      </c>
      <c r="B9" s="200" t="s">
        <v>144</v>
      </c>
      <c r="C9" s="2" t="s">
        <v>144</v>
      </c>
      <c r="D9" s="200" t="s">
        <v>144</v>
      </c>
      <c r="E9" s="16" t="s">
        <v>628</v>
      </c>
      <c r="F9" s="55"/>
      <c r="G9" s="60"/>
      <c r="H9" s="64" t="s">
        <v>2182</v>
      </c>
    </row>
    <row r="10" spans="1:10" ht="50" x14ac:dyDescent="0.3">
      <c r="A10" s="16" t="s">
        <v>2831</v>
      </c>
      <c r="B10" s="200" t="s">
        <v>144</v>
      </c>
      <c r="C10" s="2" t="s">
        <v>144</v>
      </c>
      <c r="D10" s="200" t="s">
        <v>144</v>
      </c>
      <c r="E10" s="16" t="s">
        <v>628</v>
      </c>
      <c r="F10" s="55"/>
      <c r="G10" s="60"/>
      <c r="H10" s="64" t="s">
        <v>2182</v>
      </c>
    </row>
    <row r="11" spans="1:10" s="46" customFormat="1" ht="26" x14ac:dyDescent="0.3">
      <c r="A11" s="34" t="s">
        <v>904</v>
      </c>
      <c r="B11" s="200" t="s">
        <v>144</v>
      </c>
      <c r="C11" s="2" t="s">
        <v>144</v>
      </c>
      <c r="D11" s="200" t="s">
        <v>144</v>
      </c>
      <c r="E11" s="36"/>
      <c r="F11" s="55"/>
      <c r="G11" s="60"/>
      <c r="H11" s="64" t="s">
        <v>2182</v>
      </c>
      <c r="I11" s="60"/>
      <c r="J11" s="60"/>
    </row>
    <row r="12" spans="1:10" ht="41.5" customHeight="1" x14ac:dyDescent="0.3">
      <c r="A12" s="16" t="s">
        <v>2941</v>
      </c>
      <c r="B12" s="200" t="s">
        <v>144</v>
      </c>
      <c r="C12" s="2" t="s">
        <v>144</v>
      </c>
      <c r="D12" s="200" t="s">
        <v>144</v>
      </c>
      <c r="E12" s="16" t="s">
        <v>629</v>
      </c>
      <c r="F12" s="55"/>
      <c r="G12" s="60" t="s">
        <v>1856</v>
      </c>
      <c r="H12" s="64" t="s">
        <v>2182</v>
      </c>
    </row>
    <row r="13" spans="1:10" ht="100" x14ac:dyDescent="0.3">
      <c r="A13" s="16" t="s">
        <v>2943</v>
      </c>
      <c r="B13" s="200" t="s">
        <v>647</v>
      </c>
      <c r="C13" s="2" t="s">
        <v>647</v>
      </c>
      <c r="D13" s="200" t="s">
        <v>647</v>
      </c>
      <c r="E13" s="16" t="s">
        <v>2944</v>
      </c>
      <c r="F13" s="55"/>
      <c r="G13" s="95" t="s">
        <v>2942</v>
      </c>
      <c r="H13" s="64"/>
    </row>
    <row r="14" spans="1:10" ht="53.25" customHeight="1" x14ac:dyDescent="0.3">
      <c r="A14" s="16" t="s">
        <v>1888</v>
      </c>
      <c r="B14" s="200" t="s">
        <v>646</v>
      </c>
      <c r="C14" s="2" t="s">
        <v>646</v>
      </c>
      <c r="D14" s="200" t="s">
        <v>843</v>
      </c>
      <c r="E14" s="16" t="s">
        <v>1567</v>
      </c>
      <c r="F14" s="55"/>
      <c r="G14" s="60"/>
      <c r="H14" s="64" t="s">
        <v>2182</v>
      </c>
    </row>
    <row r="15" spans="1:10" ht="25" x14ac:dyDescent="0.3">
      <c r="A15" s="16" t="s">
        <v>905</v>
      </c>
      <c r="B15" s="200" t="s">
        <v>144</v>
      </c>
      <c r="C15" s="2" t="s">
        <v>144</v>
      </c>
      <c r="D15" s="200" t="s">
        <v>144</v>
      </c>
      <c r="E15" s="2"/>
      <c r="F15" s="55"/>
      <c r="H15" s="64" t="s">
        <v>2182</v>
      </c>
    </row>
    <row r="16" spans="1:10" ht="13" x14ac:dyDescent="0.3">
      <c r="A16" s="16" t="s">
        <v>906</v>
      </c>
      <c r="B16" s="200" t="s">
        <v>144</v>
      </c>
      <c r="C16" s="2" t="s">
        <v>144</v>
      </c>
      <c r="D16" s="200" t="s">
        <v>144</v>
      </c>
      <c r="E16" s="2" t="s">
        <v>1013</v>
      </c>
      <c r="F16" s="55"/>
      <c r="H16" s="64" t="s">
        <v>2182</v>
      </c>
    </row>
    <row r="17" spans="1:8" ht="37.5" x14ac:dyDescent="0.3">
      <c r="A17" s="16" t="s">
        <v>1014</v>
      </c>
      <c r="B17" s="200"/>
      <c r="C17" s="2"/>
      <c r="D17" s="200" t="s">
        <v>647</v>
      </c>
      <c r="E17" s="16" t="s">
        <v>1767</v>
      </c>
      <c r="F17" s="55"/>
      <c r="H17" s="64" t="s">
        <v>2182</v>
      </c>
    </row>
    <row r="18" spans="1:8" ht="25" x14ac:dyDescent="0.3">
      <c r="A18" s="16" t="s">
        <v>2479</v>
      </c>
      <c r="B18" s="200" t="s">
        <v>144</v>
      </c>
      <c r="C18" s="2" t="s">
        <v>144</v>
      </c>
      <c r="D18" s="200" t="s">
        <v>144</v>
      </c>
      <c r="E18" s="16" t="s">
        <v>741</v>
      </c>
      <c r="F18" s="55"/>
      <c r="H18" s="64" t="s">
        <v>2182</v>
      </c>
    </row>
    <row r="19" spans="1:8" ht="50" x14ac:dyDescent="0.3">
      <c r="A19" s="16" t="s">
        <v>1768</v>
      </c>
      <c r="B19" s="200" t="s">
        <v>144</v>
      </c>
      <c r="C19" s="2" t="s">
        <v>144</v>
      </c>
      <c r="D19" s="200" t="s">
        <v>144</v>
      </c>
      <c r="E19" s="2"/>
      <c r="F19" s="55"/>
      <c r="H19" s="64" t="s">
        <v>2182</v>
      </c>
    </row>
    <row r="20" spans="1:8" ht="50.5" x14ac:dyDescent="0.3">
      <c r="A20" s="16" t="s">
        <v>2480</v>
      </c>
      <c r="B20" s="200" t="s">
        <v>144</v>
      </c>
      <c r="C20" s="2" t="s">
        <v>144</v>
      </c>
      <c r="D20" s="200" t="s">
        <v>144</v>
      </c>
      <c r="E20" s="16" t="s">
        <v>2131</v>
      </c>
      <c r="F20" s="55"/>
      <c r="G20" s="60"/>
      <c r="H20" s="64"/>
    </row>
    <row r="21" spans="1:8" ht="13" x14ac:dyDescent="0.3">
      <c r="A21" s="16" t="s">
        <v>216</v>
      </c>
      <c r="B21" s="200" t="s">
        <v>145</v>
      </c>
      <c r="C21" s="2" t="s">
        <v>145</v>
      </c>
      <c r="D21" s="200" t="s">
        <v>145</v>
      </c>
      <c r="E21" s="2"/>
      <c r="F21" s="55"/>
      <c r="H21" s="64" t="s">
        <v>2182</v>
      </c>
    </row>
    <row r="22" spans="1:8" ht="78.75" customHeight="1" x14ac:dyDescent="0.3">
      <c r="A22" s="17" t="s">
        <v>1889</v>
      </c>
      <c r="B22" s="209" t="s">
        <v>145</v>
      </c>
      <c r="C22" s="4" t="s">
        <v>145</v>
      </c>
      <c r="D22" s="209" t="s">
        <v>145</v>
      </c>
      <c r="E22" s="4"/>
      <c r="F22" s="106"/>
      <c r="G22" s="60"/>
      <c r="H22" s="64" t="s">
        <v>2182</v>
      </c>
    </row>
  </sheetData>
  <sheetProtection algorithmName="SHA-512" hashValue="MTpSFxzE0UDPkO6aRMO8nk5mmnBRJy+7XdsrZCo8wisZqn/lBejx6PWmbrbJ+IDUu7r/XOd1e2yaVD/bJWMoQg==" saltValue="Jw6StDtSLPtxzlcgjbnvZA==" spinCount="100000" sheet="1" objects="1" scenarios="1" autoFilter="0"/>
  <autoFilter ref="B5:G22" xr:uid="{00000000-0009-0000-0000-000017000000}"/>
  <customSheetViews>
    <customSheetView guid="{33D191C9-AE75-45EC-B301-B583C3381734}" showGridLines="0" fitToPage="1" printArea="1" showAutoFilter="1">
      <pane ySplit="5" topLeftCell="A12" activePane="bottomLeft" state="frozen"/>
      <selection pane="bottomLeft"/>
      <pageMargins left="0.75" right="0.75" top="1" bottom="1" header="0.5" footer="0.5"/>
      <pageSetup paperSize="9" scale="84" fitToHeight="100" orientation="landscape" r:id="rId1"/>
      <headerFooter alignWithMargins="0"/>
      <autoFilter ref="B1:G1" xr:uid="{96723A92-BCD0-4B41-9737-A8D83949323A}"/>
    </customSheetView>
  </customSheetViews>
  <mergeCells count="1">
    <mergeCell ref="B4:F4"/>
  </mergeCells>
  <phoneticPr fontId="2" type="noConversion"/>
  <dataValidations count="1">
    <dataValidation type="list" allowBlank="1" showInputMessage="1" showErrorMessage="1" sqref="F6:F22" xr:uid="{00000000-0002-0000-1700-000000000000}">
      <formula1>"Akkoord,Opmerking,N.v.t.,,"</formula1>
    </dataValidation>
  </dataValidations>
  <hyperlinks>
    <hyperlink ref="A5" location="'Gebeurtenissen na balansdatum'!A2" display="Gebeurtenissen na balansdatum" xr:uid="{00000000-0004-0000-1700-000000000000}"/>
    <hyperlink ref="A7" location="'Gebeurtenissen na balansdatum'!A4" display="1. Gebeurtenissen die nadere informatie geven  over de situatie op balansdatum " xr:uid="{00000000-0004-0000-1700-000001000000}"/>
    <hyperlink ref="A11" location="'Gebeurtenissen na balansdatum'!A8" display="2. Gebeurtenissen die geen nadere informatie geven over de situatie op balansdatum" xr:uid="{00000000-0004-0000-1700-000002000000}"/>
  </hyperlinks>
  <pageMargins left="0.75" right="0.75" top="1" bottom="1" header="0.5" footer="0.5"/>
  <pageSetup paperSize="9" scale="84"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5605"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Blad24">
    <tabColor rgb="FF951B81"/>
    <pageSetUpPr fitToPage="1"/>
  </sheetPr>
  <dimension ref="A1:J27"/>
  <sheetViews>
    <sheetView showGridLines="0" zoomScaleNormal="100" workbookViewId="0">
      <pane ySplit="5" topLeftCell="A6" activePane="bottomLeft" state="frozen"/>
      <selection activeCell="A119" sqref="A119"/>
      <selection pane="bottomLeft"/>
    </sheetView>
  </sheetViews>
  <sheetFormatPr defaultColWidth="9.1796875" defaultRowHeight="12.5" x14ac:dyDescent="0.25"/>
  <cols>
    <col min="1" max="1" width="60.7265625" style="18" customWidth="1"/>
    <col min="2" max="2" width="9" style="1" customWidth="1"/>
    <col min="3" max="3" width="10.81640625" style="1" customWidth="1"/>
    <col min="4" max="4" width="8.453125" style="1" customWidth="1"/>
    <col min="5" max="5" width="13.453125" style="1" customWidth="1"/>
    <col min="6" max="6" width="10.7265625" style="59" customWidth="1"/>
    <col min="7" max="7" width="37" style="59" customWidth="1"/>
    <col min="8" max="10" width="9.1796875" style="59"/>
    <col min="11" max="16384" width="9.1796875" style="1"/>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58"/>
      <c r="H4" s="58"/>
      <c r="I4" s="58"/>
      <c r="J4" s="58"/>
    </row>
    <row r="5" spans="1:10" ht="15.5" x14ac:dyDescent="0.25">
      <c r="A5" s="196" t="s">
        <v>2132</v>
      </c>
      <c r="B5" s="233" t="s">
        <v>642</v>
      </c>
      <c r="C5" s="233" t="s">
        <v>643</v>
      </c>
      <c r="D5" s="233" t="s">
        <v>644</v>
      </c>
      <c r="E5" s="232" t="s">
        <v>645</v>
      </c>
      <c r="F5" s="233" t="s">
        <v>54</v>
      </c>
      <c r="G5" s="199" t="s">
        <v>2858</v>
      </c>
    </row>
    <row r="6" spans="1:10" ht="37.5" x14ac:dyDescent="0.3">
      <c r="A6" s="16" t="s">
        <v>1568</v>
      </c>
      <c r="B6" s="200" t="s">
        <v>646</v>
      </c>
      <c r="C6" s="2" t="s">
        <v>646</v>
      </c>
      <c r="D6" s="200" t="s">
        <v>646</v>
      </c>
      <c r="E6" s="32"/>
      <c r="F6" s="55"/>
      <c r="G6" s="60"/>
      <c r="H6" s="64" t="s">
        <v>2182</v>
      </c>
    </row>
    <row r="7" spans="1:10" s="46" customFormat="1" ht="37.5" x14ac:dyDescent="0.3">
      <c r="A7" s="16" t="s">
        <v>2192</v>
      </c>
      <c r="B7" s="200" t="s">
        <v>646</v>
      </c>
      <c r="C7" s="2" t="s">
        <v>646</v>
      </c>
      <c r="D7" s="200" t="s">
        <v>843</v>
      </c>
      <c r="E7" s="16" t="s">
        <v>1571</v>
      </c>
      <c r="F7" s="81"/>
      <c r="G7" s="60"/>
      <c r="H7" s="64" t="s">
        <v>2182</v>
      </c>
      <c r="I7" s="60"/>
      <c r="J7" s="60"/>
    </row>
    <row r="8" spans="1:10" ht="13" x14ac:dyDescent="0.3">
      <c r="A8" s="16" t="s">
        <v>1569</v>
      </c>
      <c r="B8" s="200" t="s">
        <v>646</v>
      </c>
      <c r="C8" s="2" t="s">
        <v>646</v>
      </c>
      <c r="D8" s="200"/>
      <c r="E8" s="16" t="s">
        <v>1582</v>
      </c>
      <c r="F8" s="81"/>
      <c r="G8" s="60"/>
      <c r="H8" s="64" t="s">
        <v>2182</v>
      </c>
    </row>
    <row r="9" spans="1:10" ht="25" x14ac:dyDescent="0.3">
      <c r="A9" s="16" t="s">
        <v>1570</v>
      </c>
      <c r="B9" s="200" t="s">
        <v>646</v>
      </c>
      <c r="C9" s="2" t="s">
        <v>646</v>
      </c>
      <c r="D9" s="200"/>
      <c r="E9" s="16" t="s">
        <v>1583</v>
      </c>
      <c r="F9" s="81"/>
      <c r="G9" s="60"/>
      <c r="H9" s="64" t="s">
        <v>2182</v>
      </c>
    </row>
    <row r="10" spans="1:10" ht="25" x14ac:dyDescent="0.3">
      <c r="A10" s="16" t="s">
        <v>2133</v>
      </c>
      <c r="B10" s="234" t="s">
        <v>646</v>
      </c>
      <c r="C10" s="2" t="s">
        <v>646</v>
      </c>
      <c r="D10" s="235" t="s">
        <v>646</v>
      </c>
      <c r="E10" s="16" t="s">
        <v>1706</v>
      </c>
      <c r="F10" s="117"/>
      <c r="G10" s="60"/>
      <c r="H10" s="64" t="s">
        <v>2182</v>
      </c>
    </row>
    <row r="11" spans="1:10" ht="13" x14ac:dyDescent="0.3">
      <c r="A11" s="16" t="s">
        <v>1675</v>
      </c>
      <c r="B11" s="200" t="s">
        <v>646</v>
      </c>
      <c r="C11" s="2" t="s">
        <v>646</v>
      </c>
      <c r="D11" s="200" t="s">
        <v>646</v>
      </c>
      <c r="E11" s="16"/>
      <c r="F11" s="50"/>
      <c r="G11" s="60"/>
      <c r="H11" s="64" t="s">
        <v>2182</v>
      </c>
    </row>
    <row r="12" spans="1:10" ht="13" x14ac:dyDescent="0.3">
      <c r="A12" s="16" t="s">
        <v>1676</v>
      </c>
      <c r="B12" s="200" t="s">
        <v>646</v>
      </c>
      <c r="C12" s="2" t="s">
        <v>646</v>
      </c>
      <c r="D12" s="200" t="s">
        <v>646</v>
      </c>
      <c r="E12" s="16"/>
      <c r="F12" s="50"/>
      <c r="G12" s="60"/>
      <c r="H12" s="64" t="s">
        <v>2182</v>
      </c>
    </row>
    <row r="13" spans="1:10" ht="13" x14ac:dyDescent="0.3">
      <c r="A13" s="16" t="s">
        <v>1677</v>
      </c>
      <c r="B13" s="200" t="s">
        <v>646</v>
      </c>
      <c r="C13" s="2" t="s">
        <v>646</v>
      </c>
      <c r="D13" s="200" t="s">
        <v>646</v>
      </c>
      <c r="E13" s="16"/>
      <c r="F13" s="50"/>
      <c r="G13" s="60"/>
      <c r="H13" s="64" t="s">
        <v>2182</v>
      </c>
    </row>
    <row r="14" spans="1:10" ht="13" x14ac:dyDescent="0.3">
      <c r="A14" s="16" t="s">
        <v>1678</v>
      </c>
      <c r="B14" s="200" t="s">
        <v>646</v>
      </c>
      <c r="C14" s="2" t="s">
        <v>646</v>
      </c>
      <c r="D14" s="200" t="s">
        <v>646</v>
      </c>
      <c r="E14" s="16"/>
      <c r="F14" s="50"/>
      <c r="G14" s="60"/>
      <c r="H14" s="64" t="s">
        <v>2182</v>
      </c>
    </row>
    <row r="15" spans="1:10" ht="13" x14ac:dyDescent="0.3">
      <c r="A15" s="16" t="s">
        <v>2134</v>
      </c>
      <c r="B15" s="200" t="s">
        <v>646</v>
      </c>
      <c r="C15" s="2" t="s">
        <v>646</v>
      </c>
      <c r="D15" s="200" t="s">
        <v>646</v>
      </c>
      <c r="E15" s="16"/>
      <c r="F15" s="50"/>
      <c r="G15" s="60"/>
      <c r="H15" s="64"/>
    </row>
    <row r="16" spans="1:10" ht="25" x14ac:dyDescent="0.3">
      <c r="A16" s="16" t="s">
        <v>2135</v>
      </c>
      <c r="B16" s="200" t="s">
        <v>646</v>
      </c>
      <c r="C16" s="2" t="s">
        <v>646</v>
      </c>
      <c r="D16" s="200" t="s">
        <v>646</v>
      </c>
      <c r="E16" s="16" t="s">
        <v>2140</v>
      </c>
      <c r="F16" s="50"/>
      <c r="G16" s="60"/>
      <c r="H16" s="64"/>
    </row>
    <row r="17" spans="1:8" ht="28.5" customHeight="1" x14ac:dyDescent="0.3">
      <c r="A17" s="16" t="s">
        <v>2136</v>
      </c>
      <c r="B17" s="200" t="s">
        <v>646</v>
      </c>
      <c r="C17" s="2" t="s">
        <v>646</v>
      </c>
      <c r="D17" s="200" t="s">
        <v>646</v>
      </c>
      <c r="E17" s="16" t="s">
        <v>846</v>
      </c>
      <c r="F17" s="50"/>
      <c r="G17" s="60"/>
      <c r="H17" s="64"/>
    </row>
    <row r="18" spans="1:8" ht="25" x14ac:dyDescent="0.3">
      <c r="A18" s="16" t="s">
        <v>2137</v>
      </c>
      <c r="B18" s="200" t="s">
        <v>646</v>
      </c>
      <c r="C18" s="2" t="s">
        <v>646</v>
      </c>
      <c r="D18" s="200" t="s">
        <v>646</v>
      </c>
      <c r="E18" s="16" t="s">
        <v>2141</v>
      </c>
      <c r="F18" s="50"/>
      <c r="G18" s="60"/>
      <c r="H18" s="64"/>
    </row>
    <row r="19" spans="1:8" ht="25" x14ac:dyDescent="0.3">
      <c r="A19" s="16" t="s">
        <v>2138</v>
      </c>
      <c r="B19" s="200" t="s">
        <v>646</v>
      </c>
      <c r="C19" s="2" t="s">
        <v>646</v>
      </c>
      <c r="D19" s="200" t="s">
        <v>646</v>
      </c>
      <c r="E19" s="16"/>
      <c r="F19" s="50"/>
      <c r="G19" s="60"/>
      <c r="H19" s="64"/>
    </row>
    <row r="20" spans="1:8" ht="25" x14ac:dyDescent="0.3">
      <c r="A20" s="16" t="s">
        <v>2139</v>
      </c>
      <c r="B20" s="200" t="s">
        <v>646</v>
      </c>
      <c r="C20" s="2" t="s">
        <v>646</v>
      </c>
      <c r="D20" s="200" t="s">
        <v>646</v>
      </c>
      <c r="E20" s="16"/>
      <c r="F20" s="50"/>
      <c r="G20" s="60"/>
      <c r="H20" s="64"/>
    </row>
    <row r="21" spans="1:8" ht="25" x14ac:dyDescent="0.3">
      <c r="A21" s="16" t="s">
        <v>2142</v>
      </c>
      <c r="B21" s="200" t="s">
        <v>646</v>
      </c>
      <c r="C21" s="2" t="s">
        <v>646</v>
      </c>
      <c r="D21" s="200"/>
      <c r="E21" s="16" t="s">
        <v>2140</v>
      </c>
      <c r="F21" s="50"/>
      <c r="G21" s="60" t="s">
        <v>2329</v>
      </c>
      <c r="H21" s="64"/>
    </row>
    <row r="22" spans="1:8" ht="13" x14ac:dyDescent="0.3">
      <c r="A22" s="16" t="s">
        <v>2145</v>
      </c>
      <c r="B22" s="200" t="s">
        <v>646</v>
      </c>
      <c r="C22" s="2" t="s">
        <v>646</v>
      </c>
      <c r="D22" s="200"/>
      <c r="E22" s="16"/>
      <c r="F22" s="50"/>
      <c r="G22" s="60"/>
      <c r="H22" s="64"/>
    </row>
    <row r="23" spans="1:8" ht="25" x14ac:dyDescent="0.3">
      <c r="A23" s="16" t="s">
        <v>2144</v>
      </c>
      <c r="B23" s="200" t="s">
        <v>646</v>
      </c>
      <c r="C23" s="2" t="s">
        <v>646</v>
      </c>
      <c r="D23" s="200"/>
      <c r="E23" s="16"/>
      <c r="F23" s="50"/>
      <c r="G23" s="60"/>
      <c r="H23" s="64"/>
    </row>
    <row r="24" spans="1:8" ht="13" x14ac:dyDescent="0.3">
      <c r="A24" s="16" t="s">
        <v>2143</v>
      </c>
      <c r="B24" s="200" t="s">
        <v>646</v>
      </c>
      <c r="C24" s="2" t="s">
        <v>646</v>
      </c>
      <c r="D24" s="200"/>
      <c r="E24" s="16"/>
      <c r="F24" s="50"/>
      <c r="G24" s="60"/>
      <c r="H24" s="64"/>
    </row>
    <row r="25" spans="1:8" ht="25" x14ac:dyDescent="0.3">
      <c r="A25" s="16" t="s">
        <v>2146</v>
      </c>
      <c r="B25" s="200" t="s">
        <v>646</v>
      </c>
      <c r="C25" s="2" t="s">
        <v>646</v>
      </c>
      <c r="D25" s="200" t="s">
        <v>646</v>
      </c>
      <c r="E25" s="16" t="s">
        <v>2148</v>
      </c>
      <c r="F25" s="50"/>
      <c r="G25" s="60"/>
      <c r="H25" s="64"/>
    </row>
    <row r="26" spans="1:8" ht="37.5" x14ac:dyDescent="0.3">
      <c r="A26" s="16" t="s">
        <v>2149</v>
      </c>
      <c r="B26" s="200" t="s">
        <v>646</v>
      </c>
      <c r="C26" s="2" t="s">
        <v>646</v>
      </c>
      <c r="D26" s="200"/>
      <c r="E26" s="16"/>
      <c r="F26" s="50"/>
      <c r="G26" s="60"/>
      <c r="H26" s="64"/>
    </row>
    <row r="27" spans="1:8" ht="25" x14ac:dyDescent="0.3">
      <c r="A27" s="16" t="s">
        <v>2184</v>
      </c>
      <c r="B27" s="200" t="s">
        <v>646</v>
      </c>
      <c r="C27" s="2" t="s">
        <v>646</v>
      </c>
      <c r="D27" s="200"/>
      <c r="E27" s="16" t="s">
        <v>2147</v>
      </c>
      <c r="F27" s="50"/>
      <c r="G27" s="60"/>
      <c r="H27" s="64" t="s">
        <v>2182</v>
      </c>
    </row>
  </sheetData>
  <sheetProtection algorithmName="SHA-512" hashValue="/NTK/SVzXdiNkdYo2pkl8qF04qSmXPfFhJRHs8x0tJ1fa2GZSxEE9mBDGRijkuW23hk5WjQR3DEdN4iXujqqYw==" saltValue="ygPtZ/XPytK/2UggLfWBqA==" spinCount="100000" sheet="1" objects="1" scenarios="1" autoFilter="0"/>
  <autoFilter ref="B5:G27" xr:uid="{00000000-0009-0000-0000-000018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4" fitToHeight="100" orientation="landscape" r:id="rId1"/>
      <headerFooter alignWithMargins="0"/>
      <autoFilter ref="B1:G1" xr:uid="{C9CE55FD-8B3F-4C2F-9D6A-EA22E0FDF3C1}"/>
    </customSheetView>
  </customSheetViews>
  <mergeCells count="1">
    <mergeCell ref="B4:F4"/>
  </mergeCells>
  <dataValidations count="1">
    <dataValidation type="list" allowBlank="1" showInputMessage="1" showErrorMessage="1" sqref="F6:F14" xr:uid="{00000000-0002-0000-1800-000000000000}">
      <formula1>"Akkoord,Opmerking,N.v.t.,,"</formula1>
    </dataValidation>
  </dataValidations>
  <hyperlinks>
    <hyperlink ref="A5" location="'Gebeurtenissen na balansdatum'!A2" display="Gebeurtenissen na balansdatum" xr:uid="{00000000-0004-0000-1800-000000000000}"/>
  </hyperlinks>
  <pageMargins left="0.75" right="0.75" top="1" bottom="1" header="0.5" footer="0.5"/>
  <pageSetup paperSize="9" scale="84"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7889" r:id="rId5" name="Button 1">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Blad33">
    <tabColor rgb="FF951B81"/>
    <pageSetUpPr fitToPage="1"/>
  </sheetPr>
  <dimension ref="A1:J101"/>
  <sheetViews>
    <sheetView showGridLines="0" zoomScaleNormal="100" workbookViewId="0">
      <pane ySplit="5" topLeftCell="A6" activePane="bottomLeft" state="frozen"/>
      <selection activeCell="A119" sqref="A119"/>
      <selection pane="bottomLeft"/>
    </sheetView>
  </sheetViews>
  <sheetFormatPr defaultColWidth="9.1796875" defaultRowHeight="13" x14ac:dyDescent="0.25"/>
  <cols>
    <col min="1" max="1" width="60.7265625" style="5" customWidth="1"/>
    <col min="2" max="2" width="10.7265625" style="6" customWidth="1"/>
    <col min="3" max="3" width="10.81640625" style="6" customWidth="1"/>
    <col min="4" max="4" width="8.453125" style="6" customWidth="1"/>
    <col min="5" max="5" width="21.1796875" style="6" bestFit="1" customWidth="1"/>
    <col min="6" max="6" width="10.7265625" style="58" customWidth="1"/>
    <col min="7" max="7" width="64.4531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236" t="s">
        <v>488</v>
      </c>
      <c r="B5" s="237" t="s">
        <v>642</v>
      </c>
      <c r="C5" s="237" t="s">
        <v>643</v>
      </c>
      <c r="D5" s="237" t="s">
        <v>644</v>
      </c>
      <c r="E5" s="238" t="s">
        <v>645</v>
      </c>
      <c r="F5" s="237" t="s">
        <v>54</v>
      </c>
      <c r="G5" s="199" t="s">
        <v>2858</v>
      </c>
    </row>
    <row r="6" spans="1:10" ht="37.5" x14ac:dyDescent="0.3">
      <c r="A6" s="16" t="s">
        <v>1890</v>
      </c>
      <c r="B6" s="239" t="s">
        <v>144</v>
      </c>
      <c r="C6" s="11"/>
      <c r="D6" s="239"/>
      <c r="E6" s="11"/>
      <c r="F6" s="55"/>
      <c r="H6" s="64"/>
    </row>
    <row r="7" spans="1:10" x14ac:dyDescent="0.3">
      <c r="A7" s="10" t="s">
        <v>489</v>
      </c>
      <c r="B7" s="239" t="s">
        <v>144</v>
      </c>
      <c r="C7" s="11"/>
      <c r="D7" s="239"/>
      <c r="E7" s="11"/>
      <c r="F7" s="55"/>
      <c r="H7" s="64"/>
    </row>
    <row r="8" spans="1:10" ht="37.5" x14ac:dyDescent="0.3">
      <c r="A8" s="16" t="s">
        <v>490</v>
      </c>
      <c r="B8" s="239" t="s">
        <v>144</v>
      </c>
      <c r="C8" s="11"/>
      <c r="D8" s="239"/>
      <c r="E8" s="16" t="s">
        <v>2481</v>
      </c>
      <c r="F8" s="55"/>
      <c r="H8" s="64"/>
    </row>
    <row r="9" spans="1:10" ht="37.5" x14ac:dyDescent="0.3">
      <c r="A9" s="16" t="s">
        <v>2978</v>
      </c>
      <c r="B9" s="239" t="s">
        <v>144</v>
      </c>
      <c r="C9" s="11"/>
      <c r="D9" s="239"/>
      <c r="E9" s="11"/>
      <c r="F9" s="55"/>
      <c r="G9" s="60" t="s">
        <v>1856</v>
      </c>
      <c r="H9" s="64"/>
    </row>
    <row r="10" spans="1:10" x14ac:dyDescent="0.3">
      <c r="A10" s="16" t="s">
        <v>2979</v>
      </c>
      <c r="B10" s="239" t="s">
        <v>144</v>
      </c>
      <c r="C10" s="11"/>
      <c r="D10" s="239"/>
      <c r="E10" s="11"/>
      <c r="F10" s="55"/>
      <c r="G10" s="60" t="s">
        <v>1856</v>
      </c>
      <c r="H10" s="64"/>
    </row>
    <row r="11" spans="1:10" ht="25" x14ac:dyDescent="0.3">
      <c r="A11" s="16" t="s">
        <v>2595</v>
      </c>
      <c r="B11" s="239" t="s">
        <v>144</v>
      </c>
      <c r="C11" s="11"/>
      <c r="D11" s="239"/>
      <c r="E11" s="2" t="s">
        <v>2482</v>
      </c>
      <c r="F11" s="55"/>
      <c r="H11" s="64"/>
    </row>
    <row r="12" spans="1:10" ht="37.5" x14ac:dyDescent="0.3">
      <c r="A12" s="16" t="s">
        <v>2987</v>
      </c>
      <c r="B12" s="239" t="s">
        <v>144</v>
      </c>
      <c r="C12" s="11"/>
      <c r="D12" s="239"/>
      <c r="E12" s="2"/>
      <c r="F12" s="55"/>
      <c r="G12" s="60" t="s">
        <v>993</v>
      </c>
      <c r="H12" s="64"/>
    </row>
    <row r="13" spans="1:10" x14ac:dyDescent="0.3">
      <c r="A13" s="10" t="s">
        <v>24</v>
      </c>
      <c r="B13" s="239" t="s">
        <v>144</v>
      </c>
      <c r="C13" s="11"/>
      <c r="D13" s="239"/>
      <c r="E13" s="11"/>
      <c r="F13" s="55"/>
      <c r="H13" s="64"/>
    </row>
    <row r="14" spans="1:10" ht="37.5" x14ac:dyDescent="0.3">
      <c r="A14" s="16" t="s">
        <v>1572</v>
      </c>
      <c r="B14" s="239" t="s">
        <v>144</v>
      </c>
      <c r="C14" s="11"/>
      <c r="D14" s="239"/>
      <c r="E14" s="11"/>
      <c r="F14" s="55"/>
      <c r="H14" s="64"/>
    </row>
    <row r="15" spans="1:10" ht="25" x14ac:dyDescent="0.3">
      <c r="A15" s="16" t="s">
        <v>19</v>
      </c>
      <c r="B15" s="239" t="s">
        <v>144</v>
      </c>
      <c r="C15" s="11"/>
      <c r="D15" s="239"/>
      <c r="E15" s="11" t="s">
        <v>527</v>
      </c>
      <c r="F15" s="55"/>
      <c r="H15" s="64"/>
    </row>
    <row r="16" spans="1:10" ht="37.5" x14ac:dyDescent="0.3">
      <c r="A16" s="10" t="s">
        <v>506</v>
      </c>
      <c r="B16" s="239" t="s">
        <v>144</v>
      </c>
      <c r="C16" s="11"/>
      <c r="D16" s="239"/>
      <c r="E16" s="10" t="s">
        <v>20</v>
      </c>
      <c r="F16" s="55"/>
      <c r="H16" s="64"/>
    </row>
    <row r="17" spans="1:8" x14ac:dyDescent="0.3">
      <c r="A17" s="16" t="s">
        <v>481</v>
      </c>
      <c r="B17" s="239" t="s">
        <v>144</v>
      </c>
      <c r="C17" s="11"/>
      <c r="D17" s="239"/>
      <c r="E17" s="11"/>
      <c r="F17" s="55"/>
      <c r="H17" s="64"/>
    </row>
    <row r="18" spans="1:8" ht="87.5" x14ac:dyDescent="0.3">
      <c r="A18" s="16" t="s">
        <v>2483</v>
      </c>
      <c r="B18" s="239" t="s">
        <v>144</v>
      </c>
      <c r="C18" s="11"/>
      <c r="D18" s="239"/>
      <c r="E18" s="10" t="s">
        <v>649</v>
      </c>
      <c r="F18" s="55"/>
      <c r="H18" s="64"/>
    </row>
    <row r="19" spans="1:8" ht="25" x14ac:dyDescent="0.3">
      <c r="A19" s="16" t="s">
        <v>1573</v>
      </c>
      <c r="B19" s="239" t="s">
        <v>144</v>
      </c>
      <c r="C19" s="11"/>
      <c r="D19" s="239"/>
      <c r="E19" s="11"/>
      <c r="F19" s="55"/>
      <c r="H19" s="64"/>
    </row>
    <row r="20" spans="1:8" x14ac:dyDescent="0.3">
      <c r="A20" s="16" t="s">
        <v>1336</v>
      </c>
      <c r="B20" s="200" t="s">
        <v>144</v>
      </c>
      <c r="C20" s="11"/>
      <c r="D20" s="239"/>
      <c r="E20" s="11"/>
      <c r="F20" s="55"/>
      <c r="H20" s="64"/>
    </row>
    <row r="21" spans="1:8" x14ac:dyDescent="0.3">
      <c r="A21" s="114" t="s">
        <v>1575</v>
      </c>
      <c r="B21" s="239" t="s">
        <v>144</v>
      </c>
      <c r="C21" s="11"/>
      <c r="D21" s="239"/>
      <c r="E21" s="11"/>
      <c r="F21" s="55"/>
      <c r="H21" s="64"/>
    </row>
    <row r="22" spans="1:8" x14ac:dyDescent="0.3">
      <c r="A22" s="85" t="s">
        <v>668</v>
      </c>
      <c r="B22" s="200" t="s">
        <v>144</v>
      </c>
      <c r="C22" s="11"/>
      <c r="D22" s="239"/>
      <c r="E22" s="11"/>
      <c r="F22" s="55"/>
      <c r="H22" s="64"/>
    </row>
    <row r="23" spans="1:8" ht="62.5" x14ac:dyDescent="0.3">
      <c r="A23" s="10" t="s">
        <v>598</v>
      </c>
      <c r="B23" s="239" t="s">
        <v>144</v>
      </c>
      <c r="C23" s="11"/>
      <c r="D23" s="239"/>
      <c r="E23" s="128" t="s">
        <v>10</v>
      </c>
      <c r="F23" s="55"/>
      <c r="H23" s="64"/>
    </row>
    <row r="24" spans="1:8" ht="25" x14ac:dyDescent="0.3">
      <c r="A24" s="16" t="s">
        <v>2484</v>
      </c>
      <c r="B24" s="239" t="s">
        <v>144</v>
      </c>
      <c r="C24" s="11"/>
      <c r="D24" s="239"/>
      <c r="E24" s="16" t="s">
        <v>1015</v>
      </c>
      <c r="F24" s="55"/>
      <c r="H24" s="64"/>
    </row>
    <row r="25" spans="1:8" x14ac:dyDescent="0.3">
      <c r="A25" s="85" t="s">
        <v>862</v>
      </c>
      <c r="B25" s="200" t="s">
        <v>144</v>
      </c>
      <c r="C25" s="11"/>
      <c r="D25" s="239"/>
      <c r="E25" s="16"/>
      <c r="F25" s="55"/>
      <c r="H25" s="64"/>
    </row>
    <row r="26" spans="1:8" ht="50" x14ac:dyDescent="0.3">
      <c r="A26" s="10" t="s">
        <v>193</v>
      </c>
      <c r="B26" s="239" t="s">
        <v>144</v>
      </c>
      <c r="C26" s="11"/>
      <c r="D26" s="239"/>
      <c r="E26" s="11" t="s">
        <v>634</v>
      </c>
      <c r="F26" s="55"/>
      <c r="H26" s="64"/>
    </row>
    <row r="27" spans="1:8" x14ac:dyDescent="0.3">
      <c r="A27" s="85" t="s">
        <v>1891</v>
      </c>
      <c r="B27" s="200" t="s">
        <v>144</v>
      </c>
      <c r="C27" s="11"/>
      <c r="D27" s="239"/>
      <c r="E27" s="16"/>
      <c r="F27" s="55"/>
      <c r="H27" s="64"/>
    </row>
    <row r="28" spans="1:8" ht="25" x14ac:dyDescent="0.3">
      <c r="A28" s="10" t="s">
        <v>319</v>
      </c>
      <c r="B28" s="239" t="s">
        <v>144</v>
      </c>
      <c r="C28" s="11"/>
      <c r="D28" s="239"/>
      <c r="E28" s="11"/>
      <c r="F28" s="55"/>
      <c r="H28" s="64"/>
    </row>
    <row r="29" spans="1:8" ht="25" x14ac:dyDescent="0.3">
      <c r="A29" s="79" t="s">
        <v>2357</v>
      </c>
      <c r="B29" s="200" t="s">
        <v>144</v>
      </c>
      <c r="C29" s="11"/>
      <c r="D29" s="239"/>
      <c r="E29" s="16" t="s">
        <v>2333</v>
      </c>
      <c r="F29" s="55"/>
      <c r="H29" s="64"/>
    </row>
    <row r="30" spans="1:8" ht="40.5" customHeight="1" x14ac:dyDescent="0.3">
      <c r="A30" s="79" t="s">
        <v>2334</v>
      </c>
      <c r="B30" s="239" t="s">
        <v>144</v>
      </c>
      <c r="C30" s="11"/>
      <c r="D30" s="239"/>
      <c r="E30" s="16" t="s">
        <v>2335</v>
      </c>
      <c r="F30" s="55"/>
      <c r="H30" s="64"/>
    </row>
    <row r="31" spans="1:8" ht="25" x14ac:dyDescent="0.3">
      <c r="A31" s="79" t="s">
        <v>1337</v>
      </c>
      <c r="B31" s="239" t="s">
        <v>144</v>
      </c>
      <c r="C31" s="11"/>
      <c r="D31" s="239"/>
      <c r="E31" s="10" t="s">
        <v>320</v>
      </c>
      <c r="F31" s="55"/>
      <c r="H31" s="64"/>
    </row>
    <row r="32" spans="1:8" ht="25" x14ac:dyDescent="0.3">
      <c r="A32" s="15" t="s">
        <v>5</v>
      </c>
      <c r="B32" s="239" t="s">
        <v>144</v>
      </c>
      <c r="C32" s="11"/>
      <c r="D32" s="239"/>
      <c r="E32" s="10" t="s">
        <v>321</v>
      </c>
      <c r="F32" s="55"/>
      <c r="H32" s="64"/>
    </row>
    <row r="33" spans="1:8" x14ac:dyDescent="0.3">
      <c r="A33" s="125" t="s">
        <v>1892</v>
      </c>
      <c r="B33" s="200" t="s">
        <v>144</v>
      </c>
      <c r="C33" s="11"/>
      <c r="D33" s="239"/>
      <c r="E33" s="10"/>
      <c r="F33" s="55"/>
      <c r="H33" s="64"/>
    </row>
    <row r="34" spans="1:8" ht="37.5" x14ac:dyDescent="0.3">
      <c r="A34" s="79" t="s">
        <v>2988</v>
      </c>
      <c r="B34" s="200" t="s">
        <v>144</v>
      </c>
      <c r="C34" s="11"/>
      <c r="D34" s="239"/>
      <c r="E34" s="10" t="s">
        <v>1893</v>
      </c>
      <c r="F34" s="55"/>
      <c r="G34" s="60" t="s">
        <v>1856</v>
      </c>
      <c r="H34" s="64"/>
    </row>
    <row r="35" spans="1:8" x14ac:dyDescent="0.3">
      <c r="A35" s="79" t="s">
        <v>2193</v>
      </c>
      <c r="B35" s="200" t="s">
        <v>144</v>
      </c>
      <c r="C35" s="11"/>
      <c r="D35" s="239"/>
      <c r="E35" s="10"/>
      <c r="F35" s="55"/>
      <c r="H35" s="64"/>
    </row>
    <row r="36" spans="1:8" x14ac:dyDescent="0.3">
      <c r="A36" s="125" t="s">
        <v>493</v>
      </c>
      <c r="B36" s="200" t="s">
        <v>144</v>
      </c>
      <c r="C36" s="11"/>
      <c r="D36" s="239"/>
      <c r="E36" s="10"/>
      <c r="F36" s="55"/>
      <c r="H36" s="64"/>
    </row>
    <row r="37" spans="1:8" ht="75" x14ac:dyDescent="0.3">
      <c r="A37" s="16" t="s">
        <v>2731</v>
      </c>
      <c r="B37" s="239" t="s">
        <v>144</v>
      </c>
      <c r="C37" s="11"/>
      <c r="D37" s="239"/>
      <c r="E37" s="10" t="s">
        <v>402</v>
      </c>
      <c r="F37" s="55"/>
      <c r="H37" s="64"/>
    </row>
    <row r="38" spans="1:8" ht="37.5" x14ac:dyDescent="0.3">
      <c r="A38" s="16" t="s">
        <v>2489</v>
      </c>
      <c r="B38" s="239" t="s">
        <v>144</v>
      </c>
      <c r="C38" s="11"/>
      <c r="D38" s="239"/>
      <c r="E38" s="16" t="s">
        <v>417</v>
      </c>
      <c r="F38" s="55"/>
      <c r="H38" s="64"/>
    </row>
    <row r="39" spans="1:8" ht="25" x14ac:dyDescent="0.3">
      <c r="A39" s="10" t="s">
        <v>199</v>
      </c>
      <c r="B39" s="239" t="s">
        <v>144</v>
      </c>
      <c r="C39" s="11"/>
      <c r="D39" s="239"/>
      <c r="E39" s="11" t="s">
        <v>475</v>
      </c>
      <c r="F39" s="55"/>
      <c r="H39" s="64"/>
    </row>
    <row r="40" spans="1:8" ht="37.5" x14ac:dyDescent="0.3">
      <c r="A40" s="10" t="s">
        <v>262</v>
      </c>
      <c r="B40" s="239" t="s">
        <v>144</v>
      </c>
      <c r="C40" s="11"/>
      <c r="D40" s="239"/>
      <c r="E40" s="11" t="s">
        <v>475</v>
      </c>
      <c r="F40" s="55"/>
      <c r="H40" s="64"/>
    </row>
    <row r="41" spans="1:8" x14ac:dyDescent="0.3">
      <c r="A41" s="85" t="s">
        <v>1894</v>
      </c>
      <c r="B41" s="200" t="s">
        <v>144</v>
      </c>
      <c r="C41" s="11"/>
      <c r="D41" s="239"/>
      <c r="E41" s="11"/>
      <c r="F41" s="55"/>
      <c r="H41" s="64"/>
    </row>
    <row r="42" spans="1:8" ht="50" x14ac:dyDescent="0.3">
      <c r="A42" s="16" t="s">
        <v>2485</v>
      </c>
      <c r="B42" s="239" t="s">
        <v>144</v>
      </c>
      <c r="C42" s="11"/>
      <c r="D42" s="239"/>
      <c r="E42" s="16" t="s">
        <v>70</v>
      </c>
      <c r="F42" s="55"/>
      <c r="G42" s="95"/>
      <c r="H42" s="64"/>
    </row>
    <row r="43" spans="1:8" x14ac:dyDescent="0.3">
      <c r="A43" s="16" t="s">
        <v>1574</v>
      </c>
      <c r="B43" s="200" t="s">
        <v>144</v>
      </c>
      <c r="C43" s="11"/>
      <c r="D43" s="239"/>
      <c r="E43" s="16" t="s">
        <v>222</v>
      </c>
      <c r="F43" s="55"/>
      <c r="G43" s="95"/>
      <c r="H43" s="64"/>
    </row>
    <row r="44" spans="1:8" x14ac:dyDescent="0.3">
      <c r="A44" s="114" t="s">
        <v>907</v>
      </c>
      <c r="B44" s="239" t="s">
        <v>144</v>
      </c>
      <c r="C44" s="11"/>
      <c r="D44" s="239"/>
      <c r="E44" s="11"/>
      <c r="F44" s="55"/>
      <c r="H44" s="64"/>
    </row>
    <row r="45" spans="1:8" ht="25" x14ac:dyDescent="0.3">
      <c r="A45" s="16" t="s">
        <v>1576</v>
      </c>
      <c r="B45" s="239" t="s">
        <v>144</v>
      </c>
      <c r="C45" s="11"/>
      <c r="D45" s="239"/>
      <c r="E45" s="11"/>
      <c r="F45" s="55"/>
      <c r="H45" s="64"/>
    </row>
    <row r="46" spans="1:8" ht="25" x14ac:dyDescent="0.3">
      <c r="A46" s="16" t="s">
        <v>2486</v>
      </c>
      <c r="B46" s="239" t="s">
        <v>144</v>
      </c>
      <c r="C46" s="11"/>
      <c r="D46" s="239"/>
      <c r="E46" s="11"/>
      <c r="F46" s="55"/>
      <c r="H46" s="64"/>
    </row>
    <row r="47" spans="1:8" x14ac:dyDescent="0.3">
      <c r="A47" s="16" t="s">
        <v>1338</v>
      </c>
      <c r="B47" s="239" t="s">
        <v>144</v>
      </c>
      <c r="C47" s="11"/>
      <c r="D47" s="239"/>
      <c r="E47" s="11"/>
      <c r="F47" s="55"/>
      <c r="H47" s="64"/>
    </row>
    <row r="48" spans="1:8" x14ac:dyDescent="0.3">
      <c r="A48" s="16" t="s">
        <v>1339</v>
      </c>
      <c r="B48" s="239" t="s">
        <v>144</v>
      </c>
      <c r="C48" s="11"/>
      <c r="D48" s="239"/>
      <c r="E48" s="11"/>
      <c r="F48" s="55"/>
      <c r="H48" s="64"/>
    </row>
    <row r="49" spans="1:8" x14ac:dyDescent="0.3">
      <c r="A49" s="10" t="s">
        <v>264</v>
      </c>
      <c r="B49" s="239" t="s">
        <v>144</v>
      </c>
      <c r="C49" s="11"/>
      <c r="D49" s="239"/>
      <c r="E49" s="11"/>
      <c r="F49" s="55"/>
      <c r="H49" s="64"/>
    </row>
    <row r="50" spans="1:8" ht="25" x14ac:dyDescent="0.3">
      <c r="A50" s="16" t="s">
        <v>2487</v>
      </c>
      <c r="B50" s="239" t="s">
        <v>144</v>
      </c>
      <c r="C50" s="11"/>
      <c r="D50" s="239"/>
      <c r="E50" s="2" t="s">
        <v>275</v>
      </c>
      <c r="F50" s="55"/>
      <c r="H50" s="64"/>
    </row>
    <row r="51" spans="1:8" ht="25" x14ac:dyDescent="0.3">
      <c r="A51" s="129" t="s">
        <v>2008</v>
      </c>
      <c r="B51" s="200" t="s">
        <v>144</v>
      </c>
      <c r="C51" s="11"/>
      <c r="D51" s="239"/>
      <c r="E51" s="2" t="s">
        <v>2006</v>
      </c>
      <c r="F51" s="55"/>
      <c r="H51" s="64"/>
    </row>
    <row r="52" spans="1:8" ht="25" x14ac:dyDescent="0.3">
      <c r="A52" s="10" t="s">
        <v>471</v>
      </c>
      <c r="B52" s="239" t="s">
        <v>144</v>
      </c>
      <c r="C52" s="11"/>
      <c r="D52" s="239"/>
      <c r="E52" s="10" t="s">
        <v>137</v>
      </c>
      <c r="F52" s="55"/>
      <c r="H52" s="64"/>
    </row>
    <row r="53" spans="1:8" ht="25.5" x14ac:dyDescent="0.3">
      <c r="A53" s="16" t="s">
        <v>2488</v>
      </c>
      <c r="B53" s="239" t="s">
        <v>144</v>
      </c>
      <c r="C53" s="11"/>
      <c r="D53" s="239"/>
      <c r="E53" s="11" t="s">
        <v>472</v>
      </c>
      <c r="F53" s="55"/>
      <c r="H53" s="64"/>
    </row>
    <row r="54" spans="1:8" ht="25" x14ac:dyDescent="0.3">
      <c r="A54" s="79" t="s">
        <v>2732</v>
      </c>
      <c r="B54" s="239" t="s">
        <v>144</v>
      </c>
      <c r="C54" s="11"/>
      <c r="D54" s="239"/>
      <c r="E54" s="10" t="s">
        <v>473</v>
      </c>
      <c r="F54" s="55"/>
      <c r="H54" s="64"/>
    </row>
    <row r="55" spans="1:8" ht="62.5" x14ac:dyDescent="0.3">
      <c r="A55" s="79" t="s">
        <v>2733</v>
      </c>
      <c r="B55" s="239" t="s">
        <v>144</v>
      </c>
      <c r="C55" s="11"/>
      <c r="D55" s="239"/>
      <c r="E55" s="10" t="s">
        <v>115</v>
      </c>
      <c r="F55" s="55"/>
      <c r="H55" s="64"/>
    </row>
    <row r="56" spans="1:8" ht="25.5" x14ac:dyDescent="0.3">
      <c r="A56" s="16" t="s">
        <v>2810</v>
      </c>
      <c r="B56" s="239" t="s">
        <v>144</v>
      </c>
      <c r="C56" s="11"/>
      <c r="D56" s="239"/>
      <c r="E56" s="11"/>
      <c r="F56" s="55"/>
      <c r="H56" s="64"/>
    </row>
    <row r="57" spans="1:8" x14ac:dyDescent="0.3">
      <c r="A57" s="16" t="s">
        <v>1300</v>
      </c>
      <c r="B57" s="239" t="s">
        <v>144</v>
      </c>
      <c r="C57" s="11"/>
      <c r="D57" s="239"/>
      <c r="E57" s="10" t="s">
        <v>224</v>
      </c>
      <c r="F57" s="55"/>
      <c r="H57" s="64"/>
    </row>
    <row r="58" spans="1:8" ht="25" x14ac:dyDescent="0.3">
      <c r="A58" s="16" t="s">
        <v>2325</v>
      </c>
      <c r="B58" s="239" t="s">
        <v>144</v>
      </c>
      <c r="C58" s="11"/>
      <c r="D58" s="239"/>
      <c r="E58" s="16" t="s">
        <v>2326</v>
      </c>
      <c r="F58" s="55"/>
      <c r="H58" s="64"/>
    </row>
    <row r="59" spans="1:8" ht="25" x14ac:dyDescent="0.3">
      <c r="A59" s="16" t="s">
        <v>1341</v>
      </c>
      <c r="B59" s="239" t="s">
        <v>144</v>
      </c>
      <c r="C59" s="11"/>
      <c r="D59" s="239"/>
      <c r="E59" s="10" t="s">
        <v>226</v>
      </c>
      <c r="F59" s="55"/>
      <c r="H59" s="64"/>
    </row>
    <row r="60" spans="1:8" ht="25" x14ac:dyDescent="0.3">
      <c r="A60" s="16" t="s">
        <v>2336</v>
      </c>
      <c r="B60" s="239" t="s">
        <v>144</v>
      </c>
      <c r="C60" s="11"/>
      <c r="D60" s="239"/>
      <c r="E60" s="16" t="s">
        <v>570</v>
      </c>
      <c r="F60" s="55"/>
      <c r="H60" s="64"/>
    </row>
    <row r="61" spans="1:8" x14ac:dyDescent="0.3">
      <c r="A61" s="79" t="s">
        <v>1342</v>
      </c>
      <c r="B61" s="239" t="s">
        <v>144</v>
      </c>
      <c r="C61" s="11"/>
      <c r="D61" s="239"/>
      <c r="E61" s="16" t="s">
        <v>2328</v>
      </c>
      <c r="F61" s="55"/>
      <c r="H61" s="64"/>
    </row>
    <row r="62" spans="1:8" ht="25" x14ac:dyDescent="0.3">
      <c r="A62" s="79" t="s">
        <v>1343</v>
      </c>
      <c r="B62" s="239" t="s">
        <v>144</v>
      </c>
      <c r="C62" s="11"/>
      <c r="D62" s="239"/>
      <c r="E62" s="16" t="s">
        <v>2330</v>
      </c>
      <c r="F62" s="55"/>
      <c r="H62" s="64"/>
    </row>
    <row r="63" spans="1:8" ht="25" x14ac:dyDescent="0.3">
      <c r="A63" s="79" t="s">
        <v>1344</v>
      </c>
      <c r="B63" s="239" t="s">
        <v>144</v>
      </c>
      <c r="C63" s="11"/>
      <c r="D63" s="239"/>
      <c r="E63" s="16" t="s">
        <v>2331</v>
      </c>
      <c r="F63" s="55"/>
      <c r="H63" s="64"/>
    </row>
    <row r="64" spans="1:8" ht="25" x14ac:dyDescent="0.3">
      <c r="A64" s="15" t="s">
        <v>440</v>
      </c>
      <c r="B64" s="239" t="s">
        <v>144</v>
      </c>
      <c r="C64" s="11"/>
      <c r="D64" s="239"/>
      <c r="E64" s="16" t="s">
        <v>2332</v>
      </c>
      <c r="F64" s="55"/>
      <c r="G64" s="95"/>
      <c r="H64" s="64"/>
    </row>
    <row r="65" spans="1:8" ht="25.5" x14ac:dyDescent="0.3">
      <c r="A65" s="16" t="s">
        <v>2490</v>
      </c>
      <c r="B65" s="239" t="s">
        <v>144</v>
      </c>
      <c r="C65" s="11"/>
      <c r="D65" s="239"/>
      <c r="E65" s="10" t="s">
        <v>535</v>
      </c>
      <c r="F65" s="55"/>
      <c r="H65" s="64"/>
    </row>
    <row r="66" spans="1:8" x14ac:dyDescent="0.3">
      <c r="A66" s="79" t="s">
        <v>1345</v>
      </c>
      <c r="B66" s="239" t="s">
        <v>144</v>
      </c>
      <c r="C66" s="11"/>
      <c r="D66" s="239"/>
      <c r="E66" s="16" t="s">
        <v>2596</v>
      </c>
      <c r="F66" s="55"/>
      <c r="H66" s="64"/>
    </row>
    <row r="67" spans="1:8" ht="37.5" x14ac:dyDescent="0.3">
      <c r="A67" s="79" t="s">
        <v>2491</v>
      </c>
      <c r="B67" s="239" t="s">
        <v>144</v>
      </c>
      <c r="C67" s="11"/>
      <c r="D67" s="239"/>
      <c r="E67" s="10" t="s">
        <v>11</v>
      </c>
      <c r="F67" s="55"/>
      <c r="H67" s="64"/>
    </row>
    <row r="68" spans="1:8" ht="25" x14ac:dyDescent="0.3">
      <c r="A68" s="79" t="s">
        <v>12</v>
      </c>
      <c r="B68" s="239" t="s">
        <v>144</v>
      </c>
      <c r="C68" s="11"/>
      <c r="D68" s="239"/>
      <c r="E68" s="10" t="s">
        <v>13</v>
      </c>
      <c r="F68" s="55"/>
      <c r="H68" s="64"/>
    </row>
    <row r="69" spans="1:8" ht="25.5" x14ac:dyDescent="0.3">
      <c r="A69" s="79" t="s">
        <v>2303</v>
      </c>
      <c r="B69" s="239" t="s">
        <v>144</v>
      </c>
      <c r="C69" s="11"/>
      <c r="D69" s="239"/>
      <c r="E69" s="10" t="s">
        <v>14</v>
      </c>
      <c r="F69" s="55"/>
      <c r="H69" s="64"/>
    </row>
    <row r="70" spans="1:8" ht="38" x14ac:dyDescent="0.3">
      <c r="A70" s="16" t="s">
        <v>2492</v>
      </c>
      <c r="B70" s="239" t="s">
        <v>144</v>
      </c>
      <c r="C70" s="11"/>
      <c r="D70" s="239"/>
      <c r="E70" s="10" t="s">
        <v>475</v>
      </c>
      <c r="F70" s="55"/>
      <c r="H70" s="64"/>
    </row>
    <row r="71" spans="1:8" x14ac:dyDescent="0.3">
      <c r="A71" s="120" t="s">
        <v>1998</v>
      </c>
      <c r="B71" s="200" t="s">
        <v>144</v>
      </c>
      <c r="C71" s="11"/>
      <c r="D71" s="239"/>
      <c r="E71" s="10"/>
      <c r="F71" s="55"/>
      <c r="H71" s="64"/>
    </row>
    <row r="72" spans="1:8" ht="62.5" x14ac:dyDescent="0.3">
      <c r="A72" s="10" t="s">
        <v>839</v>
      </c>
      <c r="B72" s="200" t="s">
        <v>144</v>
      </c>
      <c r="C72" s="11"/>
      <c r="D72" s="239"/>
      <c r="E72" s="16" t="s">
        <v>2493</v>
      </c>
      <c r="F72" s="55"/>
      <c r="H72" s="64"/>
    </row>
    <row r="73" spans="1:8" ht="25" x14ac:dyDescent="0.3">
      <c r="A73" s="10" t="s">
        <v>1340</v>
      </c>
      <c r="B73" s="200" t="s">
        <v>144</v>
      </c>
      <c r="C73" s="11"/>
      <c r="D73" s="239"/>
      <c r="E73" s="10"/>
      <c r="F73" s="55"/>
      <c r="H73" s="64"/>
    </row>
    <row r="74" spans="1:8" ht="37.5" x14ac:dyDescent="0.3">
      <c r="A74" s="10" t="s">
        <v>1016</v>
      </c>
      <c r="B74" s="200" t="s">
        <v>144</v>
      </c>
      <c r="C74" s="11"/>
      <c r="D74" s="239"/>
      <c r="E74" s="10"/>
      <c r="F74" s="55"/>
      <c r="H74" s="64"/>
    </row>
    <row r="75" spans="1:8" ht="50" x14ac:dyDescent="0.3">
      <c r="A75" s="16" t="s">
        <v>2494</v>
      </c>
      <c r="B75" s="200" t="s">
        <v>144</v>
      </c>
      <c r="C75" s="11"/>
      <c r="D75" s="239"/>
      <c r="E75" s="16" t="s">
        <v>1690</v>
      </c>
      <c r="F75" s="55"/>
      <c r="H75" s="64"/>
    </row>
    <row r="76" spans="1:8" ht="37.5" x14ac:dyDescent="0.3">
      <c r="A76" s="16" t="s">
        <v>2495</v>
      </c>
      <c r="B76" s="239" t="s">
        <v>144</v>
      </c>
      <c r="C76" s="11"/>
      <c r="D76" s="239"/>
      <c r="E76" s="16" t="s">
        <v>1346</v>
      </c>
      <c r="F76" s="55"/>
      <c r="H76" s="64"/>
    </row>
    <row r="77" spans="1:8" ht="25" x14ac:dyDescent="0.3">
      <c r="A77" s="10" t="s">
        <v>422</v>
      </c>
      <c r="B77" s="239" t="s">
        <v>144</v>
      </c>
      <c r="C77" s="11"/>
      <c r="D77" s="239"/>
      <c r="E77" s="11"/>
      <c r="F77" s="55"/>
      <c r="H77" s="64"/>
    </row>
    <row r="78" spans="1:8" ht="50" x14ac:dyDescent="0.3">
      <c r="A78" s="16" t="s">
        <v>2496</v>
      </c>
      <c r="B78" s="239" t="s">
        <v>144</v>
      </c>
      <c r="C78" s="11"/>
      <c r="D78" s="239"/>
      <c r="E78" s="16" t="s">
        <v>1017</v>
      </c>
      <c r="F78" s="55"/>
      <c r="H78" s="64"/>
    </row>
    <row r="79" spans="1:8" x14ac:dyDescent="0.3">
      <c r="A79" s="114" t="s">
        <v>2252</v>
      </c>
      <c r="B79" s="200" t="s">
        <v>144</v>
      </c>
      <c r="C79" s="11"/>
      <c r="D79" s="239"/>
      <c r="E79" s="16"/>
      <c r="F79" s="55"/>
      <c r="H79" s="64"/>
    </row>
    <row r="80" spans="1:8" ht="41.25" customHeight="1" x14ac:dyDescent="0.3">
      <c r="A80" s="16" t="s">
        <v>1578</v>
      </c>
      <c r="B80" s="239" t="s">
        <v>144</v>
      </c>
      <c r="C80" s="11"/>
      <c r="D80" s="239"/>
      <c r="E80" s="11" t="s">
        <v>138</v>
      </c>
      <c r="F80" s="55"/>
      <c r="H80" s="64"/>
    </row>
    <row r="81" spans="1:8" x14ac:dyDescent="0.3">
      <c r="A81" s="114" t="s">
        <v>423</v>
      </c>
      <c r="B81" s="239" t="s">
        <v>144</v>
      </c>
      <c r="C81" s="11"/>
      <c r="D81" s="239"/>
      <c r="E81" s="11"/>
      <c r="F81" s="55"/>
      <c r="H81" s="64"/>
    </row>
    <row r="82" spans="1:8" x14ac:dyDescent="0.3">
      <c r="A82" s="16" t="s">
        <v>2497</v>
      </c>
      <c r="B82" s="239" t="s">
        <v>144</v>
      </c>
      <c r="C82" s="11"/>
      <c r="D82" s="239"/>
      <c r="E82" s="10" t="s">
        <v>330</v>
      </c>
      <c r="F82" s="55"/>
      <c r="H82" s="64"/>
    </row>
    <row r="83" spans="1:8" x14ac:dyDescent="0.3">
      <c r="A83" s="35" t="s">
        <v>1555</v>
      </c>
      <c r="B83" s="200" t="s">
        <v>144</v>
      </c>
      <c r="C83" s="11"/>
      <c r="D83" s="239"/>
      <c r="E83" s="10"/>
      <c r="F83" s="55"/>
      <c r="H83" s="64"/>
    </row>
    <row r="84" spans="1:8" ht="25" x14ac:dyDescent="0.3">
      <c r="A84" s="16" t="s">
        <v>2498</v>
      </c>
      <c r="B84" s="200" t="s">
        <v>144</v>
      </c>
      <c r="C84" s="11"/>
      <c r="D84" s="239"/>
      <c r="E84" s="2" t="s">
        <v>2499</v>
      </c>
      <c r="F84" s="55"/>
      <c r="H84" s="64"/>
    </row>
    <row r="85" spans="1:8" x14ac:dyDescent="0.3">
      <c r="A85" s="114" t="s">
        <v>2500</v>
      </c>
      <c r="B85" s="239" t="s">
        <v>144</v>
      </c>
      <c r="C85" s="11"/>
      <c r="D85" s="239"/>
      <c r="F85" s="55"/>
      <c r="H85" s="64"/>
    </row>
    <row r="86" spans="1:8" ht="25.5" x14ac:dyDescent="0.3">
      <c r="A86" s="16" t="s">
        <v>2294</v>
      </c>
      <c r="B86" s="239" t="s">
        <v>144</v>
      </c>
      <c r="C86" s="11"/>
      <c r="D86" s="239"/>
      <c r="E86" s="11"/>
      <c r="F86" s="55"/>
      <c r="H86" s="64"/>
    </row>
    <row r="87" spans="1:8" ht="25" x14ac:dyDescent="0.3">
      <c r="A87" s="16" t="s">
        <v>2989</v>
      </c>
      <c r="B87" s="200" t="s">
        <v>144</v>
      </c>
      <c r="C87" s="11"/>
      <c r="D87" s="239"/>
      <c r="E87" s="11"/>
      <c r="F87" s="55"/>
      <c r="G87" s="60" t="s">
        <v>1856</v>
      </c>
      <c r="H87" s="64"/>
    </row>
    <row r="88" spans="1:8" x14ac:dyDescent="0.3">
      <c r="A88" s="16" t="s">
        <v>1579</v>
      </c>
      <c r="B88" s="200" t="s">
        <v>144</v>
      </c>
      <c r="C88" s="11"/>
      <c r="D88" s="239"/>
      <c r="E88" s="2" t="s">
        <v>1571</v>
      </c>
      <c r="F88" s="55"/>
      <c r="H88" s="64"/>
    </row>
    <row r="89" spans="1:8" x14ac:dyDescent="0.3">
      <c r="A89" s="16" t="s">
        <v>1580</v>
      </c>
      <c r="B89" s="200" t="s">
        <v>144</v>
      </c>
      <c r="C89" s="11"/>
      <c r="D89" s="239"/>
      <c r="E89" s="2" t="s">
        <v>1582</v>
      </c>
      <c r="F89" s="55"/>
      <c r="H89" s="64"/>
    </row>
    <row r="90" spans="1:8" ht="25" x14ac:dyDescent="0.3">
      <c r="A90" s="16" t="s">
        <v>1581</v>
      </c>
      <c r="B90" s="200" t="s">
        <v>144</v>
      </c>
      <c r="C90" s="11"/>
      <c r="D90" s="239"/>
      <c r="E90" s="2" t="s">
        <v>1583</v>
      </c>
      <c r="F90" s="55"/>
      <c r="H90" s="64"/>
    </row>
    <row r="91" spans="1:8" x14ac:dyDescent="0.3">
      <c r="A91" s="114" t="s">
        <v>424</v>
      </c>
      <c r="B91" s="239" t="s">
        <v>144</v>
      </c>
      <c r="C91" s="11"/>
      <c r="D91" s="239"/>
      <c r="E91" s="11"/>
      <c r="F91" s="55"/>
      <c r="H91" s="64"/>
    </row>
    <row r="92" spans="1:8" ht="25" x14ac:dyDescent="0.3">
      <c r="A92" s="16" t="s">
        <v>1584</v>
      </c>
      <c r="B92" s="239" t="s">
        <v>144</v>
      </c>
      <c r="C92" s="11"/>
      <c r="D92" s="239"/>
      <c r="E92" s="2"/>
      <c r="F92" s="55"/>
      <c r="G92" s="95"/>
      <c r="H92" s="64"/>
    </row>
    <row r="93" spans="1:8" x14ac:dyDescent="0.3">
      <c r="A93" s="16" t="s">
        <v>1020</v>
      </c>
      <c r="B93" s="200" t="s">
        <v>144</v>
      </c>
      <c r="C93" s="11"/>
      <c r="D93" s="239"/>
      <c r="E93" s="11"/>
      <c r="F93" s="55"/>
      <c r="H93" s="64"/>
    </row>
    <row r="94" spans="1:8" ht="37.5" x14ac:dyDescent="0.3">
      <c r="A94" s="16" t="s">
        <v>1021</v>
      </c>
      <c r="B94" s="239" t="s">
        <v>144</v>
      </c>
      <c r="C94" s="11"/>
      <c r="D94" s="239"/>
      <c r="E94" s="11"/>
      <c r="F94" s="55"/>
      <c r="H94" s="64"/>
    </row>
    <row r="95" spans="1:8" ht="29.25" customHeight="1" x14ac:dyDescent="0.3">
      <c r="A95" s="16" t="s">
        <v>1585</v>
      </c>
      <c r="B95" s="239" t="s">
        <v>144</v>
      </c>
      <c r="C95" s="11"/>
      <c r="D95" s="239"/>
      <c r="E95" s="11"/>
      <c r="F95" s="55"/>
      <c r="H95" s="64"/>
    </row>
    <row r="96" spans="1:8" ht="25" x14ac:dyDescent="0.3">
      <c r="A96" s="16" t="s">
        <v>1586</v>
      </c>
      <c r="B96" s="200" t="s">
        <v>144</v>
      </c>
      <c r="C96" s="11"/>
      <c r="D96" s="239"/>
      <c r="E96" s="11"/>
      <c r="F96" s="55"/>
      <c r="H96" s="64"/>
    </row>
    <row r="97" spans="1:8" x14ac:dyDescent="0.3">
      <c r="A97" s="16" t="s">
        <v>1717</v>
      </c>
      <c r="B97" s="200" t="s">
        <v>144</v>
      </c>
      <c r="C97" s="11"/>
      <c r="D97" s="239"/>
      <c r="E97" s="2" t="s">
        <v>1018</v>
      </c>
      <c r="F97" s="55"/>
      <c r="H97" s="64"/>
    </row>
    <row r="98" spans="1:8" ht="37.5" x14ac:dyDescent="0.3">
      <c r="A98" s="16" t="s">
        <v>1587</v>
      </c>
      <c r="B98" s="200" t="s">
        <v>144</v>
      </c>
      <c r="C98" s="11"/>
      <c r="D98" s="239"/>
      <c r="E98" s="2" t="s">
        <v>2150</v>
      </c>
      <c r="F98" s="55"/>
      <c r="H98" s="64"/>
    </row>
    <row r="99" spans="1:8" ht="25" x14ac:dyDescent="0.3">
      <c r="A99" s="16" t="s">
        <v>1019</v>
      </c>
      <c r="B99" s="200" t="s">
        <v>144</v>
      </c>
      <c r="C99" s="11"/>
      <c r="D99" s="239"/>
      <c r="E99" s="2" t="s">
        <v>649</v>
      </c>
      <c r="F99" s="55"/>
      <c r="H99" s="64"/>
    </row>
    <row r="100" spans="1:8" x14ac:dyDescent="0.3">
      <c r="A100" s="16" t="s">
        <v>1022</v>
      </c>
      <c r="B100" s="239" t="s">
        <v>144</v>
      </c>
      <c r="C100" s="11"/>
      <c r="D100" s="239"/>
      <c r="E100" s="2" t="s">
        <v>1895</v>
      </c>
      <c r="F100" s="55"/>
      <c r="H100" s="64"/>
    </row>
    <row r="101" spans="1:8" x14ac:dyDescent="0.3">
      <c r="A101" s="16" t="s">
        <v>2185</v>
      </c>
      <c r="B101" s="200" t="s">
        <v>144</v>
      </c>
      <c r="C101" s="11"/>
      <c r="D101" s="239"/>
      <c r="E101" s="2"/>
      <c r="F101" s="55"/>
      <c r="H101" s="64"/>
    </row>
  </sheetData>
  <sheetProtection algorithmName="SHA-512" hashValue="tzvCoFvCl+R/95hJ/jKjhohDQeOKlasBsSt+NRpwOmApH8W+KDERz1VBc9i41MALWS9xGL63tWJKk4FWztSLkA==" saltValue="irR/3ChunbUZZn6sEJmCSg==" spinCount="100000" sheet="1" objects="1" scenarios="1" autoFilter="0"/>
  <autoFilter ref="B5:G101" xr:uid="{00000000-0009-0000-0000-000019000000}"/>
  <customSheetViews>
    <customSheetView guid="{33D191C9-AE75-45EC-B301-B583C3381734}" showGridLines="0" fitToPage="1" printArea="1" showAutoFilter="1">
      <pane ySplit="5" topLeftCell="A90" activePane="bottomLeft" state="frozen"/>
      <selection pane="bottomLeft"/>
      <pageMargins left="0.75" right="0.75" top="1" bottom="1" header="0.5" footer="0.5"/>
      <pageSetup paperSize="9" scale="77" fitToHeight="100" orientation="landscape" r:id="rId1"/>
      <headerFooter alignWithMargins="0"/>
      <autoFilter ref="B1:G1" xr:uid="{7B06DA25-9697-4612-899E-F90C93E2762D}"/>
    </customSheetView>
  </customSheetViews>
  <mergeCells count="1">
    <mergeCell ref="B4:F4"/>
  </mergeCells>
  <phoneticPr fontId="2" type="noConversion"/>
  <dataValidations count="1">
    <dataValidation type="list" allowBlank="1" showInputMessage="1" showErrorMessage="1" sqref="F6:F101" xr:uid="{00000000-0002-0000-1900-000000000000}">
      <formula1>"Akkoord,Opmerking,N.v.t.,,"</formula1>
    </dataValidation>
  </dataValidations>
  <hyperlinks>
    <hyperlink ref="A5" location="'Grote rechtspersonen'!A2" display="Grote rechtspersonen" xr:uid="{00000000-0004-0000-1900-000000000000}"/>
    <hyperlink ref="A51" location="Segmentatie!Afdruktitels" display="Segmentatie!Afdruktitels" xr:uid="{00000000-0004-0000-1900-000001000000}"/>
  </hyperlinks>
  <pageMargins left="0.75" right="0.75" top="1" bottom="1" header="0.5" footer="0.5"/>
  <pageSetup paperSize="9" scale="77"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728"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Blad36">
    <tabColor rgb="FF951B81"/>
    <pageSetUpPr fitToPage="1"/>
  </sheetPr>
  <dimension ref="A1:J76"/>
  <sheetViews>
    <sheetView showGridLines="0" zoomScaleNormal="100" workbookViewId="0">
      <pane ySplit="5" topLeftCell="A6" activePane="bottomLeft" state="frozen"/>
      <selection activeCell="F6" sqref="F6"/>
      <selection pane="bottomLeft"/>
    </sheetView>
  </sheetViews>
  <sheetFormatPr defaultColWidth="9.1796875" defaultRowHeight="13" x14ac:dyDescent="0.25"/>
  <cols>
    <col min="1" max="1" width="60.7265625" style="5" customWidth="1"/>
    <col min="2" max="2" width="10.7265625" style="6" customWidth="1"/>
    <col min="3" max="3" width="10.81640625" style="6" customWidth="1"/>
    <col min="4" max="4" width="8.453125" style="6" customWidth="1"/>
    <col min="5" max="5" width="21.1796875" style="6" bestFit="1"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240" t="s">
        <v>1588</v>
      </c>
      <c r="B5" s="237" t="s">
        <v>642</v>
      </c>
      <c r="C5" s="237" t="s">
        <v>643</v>
      </c>
      <c r="D5" s="237" t="s">
        <v>644</v>
      </c>
      <c r="E5" s="238" t="s">
        <v>645</v>
      </c>
      <c r="F5" s="237" t="s">
        <v>54</v>
      </c>
      <c r="G5" s="199" t="s">
        <v>2858</v>
      </c>
    </row>
    <row r="6" spans="1:10" ht="37.5" x14ac:dyDescent="0.3">
      <c r="A6" s="16" t="s">
        <v>1896</v>
      </c>
      <c r="B6" s="239"/>
      <c r="C6" s="11"/>
      <c r="D6" s="200" t="s">
        <v>144</v>
      </c>
      <c r="E6" s="11"/>
      <c r="F6" s="55"/>
      <c r="H6" s="64"/>
    </row>
    <row r="7" spans="1:10" ht="50" x14ac:dyDescent="0.3">
      <c r="A7" s="16" t="s">
        <v>2186</v>
      </c>
      <c r="B7" s="239"/>
      <c r="C7" s="11"/>
      <c r="D7" s="200" t="s">
        <v>144</v>
      </c>
      <c r="E7" s="11"/>
      <c r="F7" s="55"/>
      <c r="H7" s="64"/>
    </row>
    <row r="8" spans="1:10" x14ac:dyDescent="0.3">
      <c r="A8" s="16" t="s">
        <v>2151</v>
      </c>
      <c r="B8" s="239"/>
      <c r="C8" s="11"/>
      <c r="D8" s="200" t="s">
        <v>144</v>
      </c>
      <c r="E8" s="2" t="s">
        <v>1897</v>
      </c>
      <c r="F8" s="55"/>
      <c r="G8" s="95"/>
      <c r="H8" s="64"/>
    </row>
    <row r="9" spans="1:10" ht="37.5" x14ac:dyDescent="0.3">
      <c r="A9" s="16" t="s">
        <v>2945</v>
      </c>
      <c r="B9" s="239"/>
      <c r="C9" s="11"/>
      <c r="D9" s="200" t="s">
        <v>144</v>
      </c>
      <c r="E9" s="2"/>
      <c r="F9" s="55"/>
      <c r="G9" s="60" t="s">
        <v>1856</v>
      </c>
      <c r="H9" s="64"/>
    </row>
    <row r="10" spans="1:10" x14ac:dyDescent="0.3">
      <c r="A10" s="16" t="s">
        <v>1589</v>
      </c>
      <c r="B10" s="239"/>
      <c r="C10" s="11"/>
      <c r="D10" s="200" t="s">
        <v>144</v>
      </c>
      <c r="E10" s="2"/>
      <c r="F10" s="55"/>
      <c r="H10" s="64"/>
    </row>
    <row r="11" spans="1:10" ht="37.5" x14ac:dyDescent="0.3">
      <c r="A11" s="10" t="s">
        <v>1590</v>
      </c>
      <c r="B11" s="239"/>
      <c r="C11" s="11"/>
      <c r="D11" s="200" t="s">
        <v>144</v>
      </c>
      <c r="E11" s="2" t="s">
        <v>1707</v>
      </c>
      <c r="F11" s="55"/>
      <c r="H11" s="64"/>
    </row>
    <row r="12" spans="1:10" ht="37.5" x14ac:dyDescent="0.3">
      <c r="A12" s="16" t="s">
        <v>2946</v>
      </c>
      <c r="B12" s="239"/>
      <c r="C12" s="11"/>
      <c r="D12" s="200" t="s">
        <v>144</v>
      </c>
      <c r="E12" s="11"/>
      <c r="F12" s="55"/>
      <c r="G12" s="60" t="s">
        <v>1856</v>
      </c>
      <c r="H12" s="64"/>
    </row>
    <row r="13" spans="1:10" x14ac:dyDescent="0.3">
      <c r="A13" s="16" t="s">
        <v>2947</v>
      </c>
      <c r="B13" s="239"/>
      <c r="C13" s="11"/>
      <c r="D13" s="200" t="s">
        <v>144</v>
      </c>
      <c r="E13" s="11"/>
      <c r="F13" s="55"/>
      <c r="G13" s="60" t="s">
        <v>1856</v>
      </c>
      <c r="H13" s="64"/>
    </row>
    <row r="14" spans="1:10" ht="25" x14ac:dyDescent="0.3">
      <c r="A14" s="16" t="s">
        <v>2981</v>
      </c>
      <c r="B14" s="239"/>
      <c r="C14" s="11"/>
      <c r="D14" s="200" t="s">
        <v>144</v>
      </c>
      <c r="E14" s="11"/>
      <c r="F14" s="55"/>
      <c r="H14" s="64"/>
    </row>
    <row r="15" spans="1:10" ht="50" x14ac:dyDescent="0.3">
      <c r="A15" s="16" t="s">
        <v>2980</v>
      </c>
      <c r="B15" s="239"/>
      <c r="C15" s="11"/>
      <c r="D15" s="200" t="s">
        <v>144</v>
      </c>
      <c r="E15" s="11"/>
      <c r="F15" s="55"/>
      <c r="G15" s="60" t="s">
        <v>993</v>
      </c>
      <c r="H15" s="64"/>
    </row>
    <row r="16" spans="1:10" ht="25" x14ac:dyDescent="0.3">
      <c r="A16" s="16" t="s">
        <v>1898</v>
      </c>
      <c r="B16" s="239"/>
      <c r="C16" s="11"/>
      <c r="D16" s="200" t="s">
        <v>144</v>
      </c>
      <c r="E16" s="16" t="s">
        <v>1899</v>
      </c>
      <c r="F16" s="55"/>
      <c r="H16" s="64"/>
    </row>
    <row r="17" spans="1:8" ht="15.5" x14ac:dyDescent="0.35">
      <c r="A17" s="16" t="s">
        <v>24</v>
      </c>
      <c r="B17" s="239"/>
      <c r="C17" s="11"/>
      <c r="D17" s="200" t="s">
        <v>144</v>
      </c>
      <c r="E17" s="107"/>
      <c r="F17" s="55"/>
      <c r="H17" s="64"/>
    </row>
    <row r="18" spans="1:8" ht="50" x14ac:dyDescent="0.3">
      <c r="A18" s="16" t="s">
        <v>1900</v>
      </c>
      <c r="B18" s="239"/>
      <c r="C18" s="11"/>
      <c r="D18" s="200" t="s">
        <v>144</v>
      </c>
      <c r="E18" s="16" t="s">
        <v>1592</v>
      </c>
      <c r="F18" s="55"/>
      <c r="H18" s="64"/>
    </row>
    <row r="19" spans="1:8" ht="25" x14ac:dyDescent="0.3">
      <c r="A19" s="16" t="s">
        <v>1591</v>
      </c>
      <c r="B19" s="239"/>
      <c r="C19" s="11"/>
      <c r="D19" s="200" t="s">
        <v>144</v>
      </c>
      <c r="E19" s="2" t="s">
        <v>1901</v>
      </c>
      <c r="F19" s="55"/>
      <c r="H19" s="64"/>
    </row>
    <row r="20" spans="1:8" ht="25" x14ac:dyDescent="0.3">
      <c r="A20" s="16" t="s">
        <v>1593</v>
      </c>
      <c r="B20" s="239"/>
      <c r="C20" s="11"/>
      <c r="D20" s="200" t="s">
        <v>144</v>
      </c>
      <c r="E20" s="16" t="s">
        <v>1902</v>
      </c>
      <c r="F20" s="55"/>
      <c r="H20" s="64"/>
    </row>
    <row r="21" spans="1:8" ht="50" x14ac:dyDescent="0.3">
      <c r="A21" s="16" t="s">
        <v>2152</v>
      </c>
      <c r="B21" s="239"/>
      <c r="C21" s="11"/>
      <c r="D21" s="200" t="s">
        <v>144</v>
      </c>
      <c r="E21" s="16" t="s">
        <v>1594</v>
      </c>
      <c r="F21" s="55"/>
      <c r="H21" s="64"/>
    </row>
    <row r="22" spans="1:8" ht="25.5" x14ac:dyDescent="0.3">
      <c r="A22" s="16" t="s">
        <v>2295</v>
      </c>
      <c r="B22" s="239"/>
      <c r="C22" s="11"/>
      <c r="D22" s="200" t="s">
        <v>144</v>
      </c>
      <c r="E22" s="16" t="s">
        <v>1903</v>
      </c>
      <c r="F22" s="55"/>
      <c r="H22" s="64"/>
    </row>
    <row r="23" spans="1:8" ht="25" x14ac:dyDescent="0.3">
      <c r="A23" s="16" t="s">
        <v>1595</v>
      </c>
      <c r="B23" s="239"/>
      <c r="C23" s="11"/>
      <c r="D23" s="200" t="s">
        <v>144</v>
      </c>
      <c r="E23" s="11"/>
      <c r="F23" s="55"/>
      <c r="H23" s="64"/>
    </row>
    <row r="24" spans="1:8" ht="37.5" x14ac:dyDescent="0.3">
      <c r="A24" s="16" t="s">
        <v>1999</v>
      </c>
      <c r="B24" s="239"/>
      <c r="C24" s="11"/>
      <c r="D24" s="200" t="s">
        <v>144</v>
      </c>
      <c r="E24" s="16" t="s">
        <v>1904</v>
      </c>
      <c r="F24" s="55"/>
      <c r="H24" s="64"/>
    </row>
    <row r="25" spans="1:8" x14ac:dyDescent="0.3">
      <c r="A25" s="16" t="s">
        <v>931</v>
      </c>
      <c r="B25" s="239"/>
      <c r="C25" s="11"/>
      <c r="D25" s="200" t="s">
        <v>144</v>
      </c>
      <c r="E25" s="16"/>
      <c r="F25" s="55"/>
      <c r="H25" s="64"/>
    </row>
    <row r="26" spans="1:8" ht="25" x14ac:dyDescent="0.3">
      <c r="A26" s="16" t="s">
        <v>1596</v>
      </c>
      <c r="B26" s="239"/>
      <c r="C26" s="11"/>
      <c r="D26" s="200" t="s">
        <v>144</v>
      </c>
      <c r="E26" s="16" t="s">
        <v>1905</v>
      </c>
      <c r="F26" s="55"/>
      <c r="H26" s="64"/>
    </row>
    <row r="27" spans="1:8" x14ac:dyDescent="0.3">
      <c r="A27" s="16" t="s">
        <v>481</v>
      </c>
      <c r="B27" s="239"/>
      <c r="C27" s="11"/>
      <c r="D27" s="200" t="s">
        <v>144</v>
      </c>
      <c r="E27" s="11"/>
      <c r="F27" s="55"/>
      <c r="H27" s="64"/>
    </row>
    <row r="28" spans="1:8" ht="25" x14ac:dyDescent="0.3">
      <c r="A28" s="16" t="s">
        <v>1597</v>
      </c>
      <c r="B28" s="239"/>
      <c r="C28" s="11"/>
      <c r="D28" s="200" t="s">
        <v>144</v>
      </c>
      <c r="E28" s="16" t="s">
        <v>1598</v>
      </c>
      <c r="F28" s="55"/>
      <c r="H28" s="64"/>
    </row>
    <row r="29" spans="1:8" x14ac:dyDescent="0.3">
      <c r="A29" s="16" t="s">
        <v>1336</v>
      </c>
      <c r="B29" s="239"/>
      <c r="C29" s="11"/>
      <c r="D29" s="200" t="s">
        <v>144</v>
      </c>
      <c r="E29" s="11"/>
      <c r="F29" s="55"/>
      <c r="H29" s="64"/>
    </row>
    <row r="30" spans="1:8" x14ac:dyDescent="0.3">
      <c r="A30" s="35" t="s">
        <v>1575</v>
      </c>
      <c r="B30" s="239"/>
      <c r="C30" s="11"/>
      <c r="D30" s="200" t="s">
        <v>144</v>
      </c>
      <c r="E30" s="16" t="s">
        <v>1708</v>
      </c>
      <c r="F30" s="55"/>
      <c r="H30" s="64"/>
    </row>
    <row r="31" spans="1:8" x14ac:dyDescent="0.3">
      <c r="A31" s="16" t="s">
        <v>1599</v>
      </c>
      <c r="B31" s="239"/>
      <c r="C31" s="11"/>
      <c r="D31" s="200" t="s">
        <v>144</v>
      </c>
      <c r="E31" s="16" t="s">
        <v>1906</v>
      </c>
      <c r="F31" s="55"/>
      <c r="H31" s="64"/>
    </row>
    <row r="32" spans="1:8" ht="25" x14ac:dyDescent="0.3">
      <c r="A32" s="16" t="s">
        <v>1600</v>
      </c>
      <c r="B32" s="239"/>
      <c r="C32" s="11"/>
      <c r="D32" s="200" t="s">
        <v>144</v>
      </c>
      <c r="E32" s="16" t="s">
        <v>1604</v>
      </c>
      <c r="F32" s="55"/>
      <c r="H32" s="64"/>
    </row>
    <row r="33" spans="1:8" ht="25" x14ac:dyDescent="0.3">
      <c r="A33" s="79" t="s">
        <v>1601</v>
      </c>
      <c r="B33" s="239"/>
      <c r="C33" s="11"/>
      <c r="D33" s="200" t="s">
        <v>144</v>
      </c>
      <c r="E33" s="16" t="s">
        <v>1605</v>
      </c>
      <c r="F33" s="55"/>
      <c r="H33" s="64"/>
    </row>
    <row r="34" spans="1:8" x14ac:dyDescent="0.3">
      <c r="A34" s="79" t="s">
        <v>1602</v>
      </c>
      <c r="B34" s="239"/>
      <c r="C34" s="11"/>
      <c r="D34" s="200" t="s">
        <v>144</v>
      </c>
      <c r="E34" s="16" t="s">
        <v>1606</v>
      </c>
      <c r="F34" s="55"/>
      <c r="H34" s="64"/>
    </row>
    <row r="35" spans="1:8" x14ac:dyDescent="0.3">
      <c r="A35" s="79" t="s">
        <v>1603</v>
      </c>
      <c r="B35" s="239"/>
      <c r="C35" s="11"/>
      <c r="D35" s="200" t="s">
        <v>144</v>
      </c>
      <c r="E35" s="16" t="s">
        <v>816</v>
      </c>
      <c r="F35" s="55"/>
      <c r="H35" s="64"/>
    </row>
    <row r="36" spans="1:8" ht="30" customHeight="1" x14ac:dyDescent="0.3">
      <c r="A36" s="79" t="s">
        <v>2337</v>
      </c>
      <c r="B36" s="239"/>
      <c r="C36" s="11"/>
      <c r="D36" s="200" t="s">
        <v>144</v>
      </c>
      <c r="E36" s="16" t="s">
        <v>1607</v>
      </c>
      <c r="F36" s="55"/>
      <c r="H36" s="64"/>
    </row>
    <row r="37" spans="1:8" ht="62.5" x14ac:dyDescent="0.3">
      <c r="A37" s="79" t="s">
        <v>1907</v>
      </c>
      <c r="B37" s="239"/>
      <c r="C37" s="11"/>
      <c r="D37" s="200" t="s">
        <v>144</v>
      </c>
      <c r="E37" s="16" t="s">
        <v>2253</v>
      </c>
      <c r="F37" s="55"/>
      <c r="H37" s="64"/>
    </row>
    <row r="38" spans="1:8" ht="25" x14ac:dyDescent="0.3">
      <c r="A38" s="79" t="s">
        <v>1908</v>
      </c>
      <c r="B38" s="239"/>
      <c r="C38" s="11"/>
      <c r="D38" s="200" t="s">
        <v>144</v>
      </c>
      <c r="E38" s="16" t="s">
        <v>1909</v>
      </c>
      <c r="F38" s="55"/>
      <c r="H38" s="64"/>
    </row>
    <row r="39" spans="1:8" ht="37.5" x14ac:dyDescent="0.3">
      <c r="A39" s="79" t="s">
        <v>1910</v>
      </c>
      <c r="B39" s="239"/>
      <c r="C39" s="11"/>
      <c r="D39" s="200" t="s">
        <v>144</v>
      </c>
      <c r="E39" s="16" t="s">
        <v>1911</v>
      </c>
      <c r="F39" s="55"/>
      <c r="H39" s="64"/>
    </row>
    <row r="40" spans="1:8" ht="50" x14ac:dyDescent="0.3">
      <c r="A40" s="79" t="s">
        <v>2338</v>
      </c>
      <c r="B40" s="239"/>
      <c r="C40" s="11"/>
      <c r="D40" s="200" t="s">
        <v>144</v>
      </c>
      <c r="E40" s="16" t="s">
        <v>1609</v>
      </c>
      <c r="F40" s="55"/>
      <c r="H40" s="64"/>
    </row>
    <row r="41" spans="1:8" ht="30" customHeight="1" x14ac:dyDescent="0.3">
      <c r="A41" s="79" t="s">
        <v>1912</v>
      </c>
      <c r="B41" s="239"/>
      <c r="C41" s="11"/>
      <c r="D41" s="200" t="s">
        <v>144</v>
      </c>
      <c r="E41" s="2"/>
      <c r="F41" s="55"/>
      <c r="H41" s="64"/>
    </row>
    <row r="42" spans="1:8" ht="25.5" x14ac:dyDescent="0.3">
      <c r="A42" s="79" t="s">
        <v>2633</v>
      </c>
      <c r="B42" s="239"/>
      <c r="C42" s="11"/>
      <c r="D42" s="200" t="s">
        <v>144</v>
      </c>
      <c r="E42" s="2" t="s">
        <v>1913</v>
      </c>
      <c r="F42" s="55"/>
      <c r="H42" s="64"/>
    </row>
    <row r="43" spans="1:8" ht="50" x14ac:dyDescent="0.3">
      <c r="A43" s="79" t="s">
        <v>1608</v>
      </c>
      <c r="B43" s="239"/>
      <c r="C43" s="11"/>
      <c r="D43" s="200" t="s">
        <v>144</v>
      </c>
      <c r="E43" s="2" t="s">
        <v>852</v>
      </c>
      <c r="F43" s="55"/>
      <c r="H43" s="64"/>
    </row>
    <row r="44" spans="1:8" ht="25" x14ac:dyDescent="0.3">
      <c r="A44" s="79" t="s">
        <v>1611</v>
      </c>
      <c r="B44" s="239"/>
      <c r="C44" s="11"/>
      <c r="D44" s="200" t="s">
        <v>144</v>
      </c>
      <c r="E44" s="16" t="s">
        <v>2634</v>
      </c>
      <c r="F44" s="55"/>
      <c r="H44" s="64"/>
    </row>
    <row r="45" spans="1:8" x14ac:dyDescent="0.3">
      <c r="A45" s="35" t="s">
        <v>907</v>
      </c>
      <c r="B45" s="200"/>
      <c r="C45" s="11"/>
      <c r="D45" s="200" t="s">
        <v>144</v>
      </c>
      <c r="E45" s="16" t="s">
        <v>1708</v>
      </c>
      <c r="F45" s="55"/>
      <c r="H45" s="64"/>
    </row>
    <row r="46" spans="1:8" x14ac:dyDescent="0.3">
      <c r="A46" s="79" t="s">
        <v>1599</v>
      </c>
      <c r="B46" s="239"/>
      <c r="C46" s="11"/>
      <c r="D46" s="200" t="s">
        <v>144</v>
      </c>
      <c r="E46" s="11" t="s">
        <v>1914</v>
      </c>
      <c r="F46" s="55"/>
      <c r="H46" s="64"/>
    </row>
    <row r="47" spans="1:8" x14ac:dyDescent="0.3">
      <c r="A47" s="79" t="s">
        <v>1612</v>
      </c>
      <c r="B47" s="239"/>
      <c r="C47" s="11"/>
      <c r="D47" s="200" t="s">
        <v>144</v>
      </c>
      <c r="E47" s="11"/>
      <c r="F47" s="55"/>
      <c r="H47" s="64"/>
    </row>
    <row r="48" spans="1:8" x14ac:dyDescent="0.3">
      <c r="A48" s="79" t="s">
        <v>1613</v>
      </c>
      <c r="B48" s="239"/>
      <c r="C48" s="11"/>
      <c r="D48" s="200" t="s">
        <v>144</v>
      </c>
      <c r="E48" s="11"/>
      <c r="F48" s="55"/>
      <c r="H48" s="64"/>
    </row>
    <row r="49" spans="1:8" x14ac:dyDescent="0.3">
      <c r="A49" s="79" t="s">
        <v>1614</v>
      </c>
      <c r="B49" s="239"/>
      <c r="C49" s="11"/>
      <c r="D49" s="200" t="s">
        <v>144</v>
      </c>
      <c r="E49" s="11"/>
      <c r="F49" s="55"/>
      <c r="H49" s="64"/>
    </row>
    <row r="50" spans="1:8" x14ac:dyDescent="0.3">
      <c r="A50" s="79" t="s">
        <v>1615</v>
      </c>
      <c r="B50" s="239"/>
      <c r="C50" s="11"/>
      <c r="D50" s="200" t="s">
        <v>144</v>
      </c>
      <c r="E50" s="11"/>
      <c r="F50" s="55"/>
      <c r="H50" s="64"/>
    </row>
    <row r="51" spans="1:8" ht="13.5" customHeight="1" x14ac:dyDescent="0.3">
      <c r="A51" s="79" t="s">
        <v>1616</v>
      </c>
      <c r="B51" s="239"/>
      <c r="C51" s="11"/>
      <c r="D51" s="200" t="s">
        <v>144</v>
      </c>
      <c r="E51" s="11"/>
      <c r="F51" s="55"/>
      <c r="H51" s="64"/>
    </row>
    <row r="52" spans="1:8" x14ac:dyDescent="0.3">
      <c r="A52" s="79" t="s">
        <v>1617</v>
      </c>
      <c r="B52" s="239"/>
      <c r="C52" s="11"/>
      <c r="D52" s="200" t="s">
        <v>144</v>
      </c>
      <c r="E52" s="2"/>
      <c r="F52" s="55"/>
      <c r="H52" s="64"/>
    </row>
    <row r="53" spans="1:8" x14ac:dyDescent="0.3">
      <c r="A53" s="79" t="s">
        <v>1618</v>
      </c>
      <c r="B53" s="239"/>
      <c r="C53" s="11"/>
      <c r="D53" s="200" t="s">
        <v>144</v>
      </c>
      <c r="E53" s="10"/>
      <c r="F53" s="55"/>
      <c r="H53" s="64"/>
    </row>
    <row r="54" spans="1:8" x14ac:dyDescent="0.3">
      <c r="A54" s="79" t="s">
        <v>1619</v>
      </c>
      <c r="B54" s="239"/>
      <c r="C54" s="11"/>
      <c r="D54" s="200" t="s">
        <v>144</v>
      </c>
      <c r="E54" s="11"/>
      <c r="F54" s="55"/>
      <c r="H54" s="64"/>
    </row>
    <row r="55" spans="1:8" ht="37.5" x14ac:dyDescent="0.3">
      <c r="A55" s="79" t="s">
        <v>1915</v>
      </c>
      <c r="B55" s="239"/>
      <c r="C55" s="11"/>
      <c r="D55" s="200" t="s">
        <v>144</v>
      </c>
      <c r="E55" s="10" t="s">
        <v>1916</v>
      </c>
      <c r="F55" s="55"/>
      <c r="H55" s="64"/>
    </row>
    <row r="56" spans="1:8" x14ac:dyDescent="0.3">
      <c r="A56" s="108" t="s">
        <v>1620</v>
      </c>
      <c r="B56" s="239"/>
      <c r="C56" s="11"/>
      <c r="D56" s="200" t="s">
        <v>144</v>
      </c>
      <c r="E56" s="10"/>
      <c r="F56" s="55"/>
      <c r="H56" s="64"/>
    </row>
    <row r="57" spans="1:8" ht="25" x14ac:dyDescent="0.3">
      <c r="A57" s="79" t="s">
        <v>1917</v>
      </c>
      <c r="B57" s="200"/>
      <c r="C57" s="11"/>
      <c r="D57" s="200" t="s">
        <v>144</v>
      </c>
      <c r="E57" s="16" t="s">
        <v>1918</v>
      </c>
      <c r="F57" s="55"/>
      <c r="H57" s="64"/>
    </row>
    <row r="58" spans="1:8" ht="37.5" x14ac:dyDescent="0.3">
      <c r="A58" s="79" t="s">
        <v>1621</v>
      </c>
      <c r="B58" s="200"/>
      <c r="C58" s="11"/>
      <c r="D58" s="200" t="s">
        <v>144</v>
      </c>
      <c r="E58" s="16" t="s">
        <v>1598</v>
      </c>
      <c r="F58" s="55"/>
      <c r="H58" s="64"/>
    </row>
    <row r="59" spans="1:8" x14ac:dyDescent="0.3">
      <c r="A59" s="79" t="s">
        <v>1622</v>
      </c>
      <c r="B59" s="200"/>
      <c r="C59" s="11"/>
      <c r="D59" s="200" t="s">
        <v>144</v>
      </c>
      <c r="E59" s="10"/>
      <c r="F59" s="55"/>
      <c r="H59" s="64"/>
    </row>
    <row r="60" spans="1:8" s="58" customFormat="1" ht="25" x14ac:dyDescent="0.3">
      <c r="A60" s="79" t="s">
        <v>1623</v>
      </c>
      <c r="B60" s="200"/>
      <c r="C60" s="11"/>
      <c r="D60" s="200" t="s">
        <v>144</v>
      </c>
      <c r="E60" s="16" t="s">
        <v>1598</v>
      </c>
      <c r="F60" s="55"/>
      <c r="G60" s="60"/>
      <c r="H60" s="64"/>
    </row>
    <row r="61" spans="1:8" s="58" customFormat="1" x14ac:dyDescent="0.3">
      <c r="A61" s="79" t="s">
        <v>1626</v>
      </c>
      <c r="B61" s="200"/>
      <c r="C61" s="11"/>
      <c r="D61" s="200" t="s">
        <v>144</v>
      </c>
      <c r="E61" s="16" t="s">
        <v>1627</v>
      </c>
      <c r="F61" s="55"/>
      <c r="G61" s="60"/>
      <c r="H61" s="64"/>
    </row>
    <row r="62" spans="1:8" s="58" customFormat="1" ht="25" x14ac:dyDescent="0.3">
      <c r="A62" s="79" t="s">
        <v>1624</v>
      </c>
      <c r="B62" s="239"/>
      <c r="C62" s="11"/>
      <c r="D62" s="200" t="s">
        <v>144</v>
      </c>
      <c r="E62" s="2" t="s">
        <v>1919</v>
      </c>
      <c r="F62" s="55"/>
      <c r="G62" s="60"/>
      <c r="H62" s="64"/>
    </row>
    <row r="63" spans="1:8" s="58" customFormat="1" ht="25" x14ac:dyDescent="0.3">
      <c r="A63" s="79" t="s">
        <v>1920</v>
      </c>
      <c r="B63" s="239"/>
      <c r="C63" s="11"/>
      <c r="D63" s="200" t="s">
        <v>144</v>
      </c>
      <c r="F63" s="55"/>
      <c r="G63" s="60"/>
      <c r="H63" s="64"/>
    </row>
    <row r="64" spans="1:8" s="58" customFormat="1" ht="37.5" x14ac:dyDescent="0.3">
      <c r="A64" s="79" t="s">
        <v>1625</v>
      </c>
      <c r="B64" s="239"/>
      <c r="C64" s="11"/>
      <c r="D64" s="200" t="s">
        <v>144</v>
      </c>
      <c r="E64" s="16" t="s">
        <v>1921</v>
      </c>
      <c r="F64" s="55"/>
      <c r="G64" s="60"/>
      <c r="H64" s="64"/>
    </row>
    <row r="65" spans="1:8" s="58" customFormat="1" x14ac:dyDescent="0.3">
      <c r="A65" s="79" t="s">
        <v>1628</v>
      </c>
      <c r="B65" s="239"/>
      <c r="C65" s="11"/>
      <c r="D65" s="200" t="s">
        <v>144</v>
      </c>
      <c r="E65" s="10"/>
      <c r="F65" s="55"/>
      <c r="G65" s="60"/>
      <c r="H65" s="64"/>
    </row>
    <row r="66" spans="1:8" s="58" customFormat="1" x14ac:dyDescent="0.3">
      <c r="A66" s="79" t="s">
        <v>1629</v>
      </c>
      <c r="B66" s="239"/>
      <c r="C66" s="11"/>
      <c r="D66" s="200" t="s">
        <v>144</v>
      </c>
      <c r="E66" s="55" t="s">
        <v>1598</v>
      </c>
      <c r="F66" s="55"/>
      <c r="G66" s="60"/>
      <c r="H66" s="64"/>
    </row>
    <row r="67" spans="1:8" x14ac:dyDescent="0.3">
      <c r="A67" s="99" t="s">
        <v>2153</v>
      </c>
      <c r="B67" s="241"/>
      <c r="C67" s="14"/>
      <c r="D67" s="208" t="s">
        <v>144</v>
      </c>
      <c r="E67" s="90" t="s">
        <v>1922</v>
      </c>
      <c r="F67" s="55"/>
      <c r="H67" s="64"/>
    </row>
    <row r="68" spans="1:8" ht="37.5" x14ac:dyDescent="0.3">
      <c r="A68" s="79" t="s">
        <v>1923</v>
      </c>
      <c r="B68" s="239"/>
      <c r="C68" s="11"/>
      <c r="D68" s="200" t="s">
        <v>144</v>
      </c>
      <c r="E68" s="55"/>
      <c r="F68" s="55"/>
      <c r="H68" s="64"/>
    </row>
    <row r="69" spans="1:8" x14ac:dyDescent="0.3">
      <c r="A69" s="79" t="s">
        <v>1924</v>
      </c>
      <c r="B69" s="239"/>
      <c r="C69" s="11"/>
      <c r="D69" s="200" t="s">
        <v>144</v>
      </c>
      <c r="E69" s="55" t="s">
        <v>1925</v>
      </c>
      <c r="F69" s="55"/>
      <c r="H69" s="64"/>
    </row>
    <row r="70" spans="1:8" ht="25" x14ac:dyDescent="0.3">
      <c r="A70" s="79" t="s">
        <v>1926</v>
      </c>
      <c r="B70" s="239"/>
      <c r="C70" s="11"/>
      <c r="D70" s="200" t="s">
        <v>144</v>
      </c>
      <c r="E70" s="50" t="s">
        <v>1927</v>
      </c>
      <c r="F70" s="55"/>
      <c r="H70" s="64"/>
    </row>
    <row r="71" spans="1:8" ht="37.5" x14ac:dyDescent="0.3">
      <c r="A71" s="79" t="s">
        <v>1928</v>
      </c>
      <c r="B71" s="239"/>
      <c r="C71" s="11"/>
      <c r="D71" s="200" t="s">
        <v>144</v>
      </c>
      <c r="E71" s="55" t="s">
        <v>1929</v>
      </c>
      <c r="F71" s="55"/>
      <c r="H71" s="64"/>
    </row>
    <row r="72" spans="1:8" ht="62.5" x14ac:dyDescent="0.3">
      <c r="A72" s="79" t="s">
        <v>1930</v>
      </c>
      <c r="B72" s="239"/>
      <c r="C72" s="11"/>
      <c r="D72" s="200" t="s">
        <v>144</v>
      </c>
      <c r="E72" s="55" t="s">
        <v>1931</v>
      </c>
      <c r="F72" s="55"/>
      <c r="H72" s="64"/>
    </row>
    <row r="73" spans="1:8" ht="37.5" x14ac:dyDescent="0.3">
      <c r="A73" s="79" t="s">
        <v>1932</v>
      </c>
      <c r="B73" s="239"/>
      <c r="C73" s="11"/>
      <c r="D73" s="200" t="s">
        <v>144</v>
      </c>
      <c r="E73" s="55" t="s">
        <v>1916</v>
      </c>
      <c r="F73" s="55"/>
      <c r="H73" s="64"/>
    </row>
    <row r="74" spans="1:8" ht="25" x14ac:dyDescent="0.3">
      <c r="A74" s="79" t="s">
        <v>1933</v>
      </c>
      <c r="B74" s="239"/>
      <c r="C74" s="11"/>
      <c r="D74" s="200" t="s">
        <v>144</v>
      </c>
      <c r="E74" s="50" t="s">
        <v>1934</v>
      </c>
      <c r="F74" s="55"/>
      <c r="H74" s="64"/>
    </row>
    <row r="75" spans="1:8" ht="62.5" x14ac:dyDescent="0.3">
      <c r="A75" s="79" t="s">
        <v>1935</v>
      </c>
      <c r="B75" s="239"/>
      <c r="C75" s="11"/>
      <c r="D75" s="200" t="s">
        <v>144</v>
      </c>
      <c r="E75" s="55" t="s">
        <v>1936</v>
      </c>
      <c r="F75" s="55"/>
      <c r="H75" s="64"/>
    </row>
    <row r="76" spans="1:8" ht="38" x14ac:dyDescent="0.3">
      <c r="A76" s="105" t="s">
        <v>2254</v>
      </c>
      <c r="B76" s="242"/>
      <c r="C76" s="13"/>
      <c r="D76" s="209" t="s">
        <v>144</v>
      </c>
      <c r="E76" s="17" t="s">
        <v>2296</v>
      </c>
      <c r="F76" s="55"/>
      <c r="H76" s="64"/>
    </row>
  </sheetData>
  <sheetProtection algorithmName="SHA-512" hashValue="uGPJj1qFzNRA8VYAQ+8waLDjY9s9RKAtU7er/NoUTmH84UiEXh/W7Ww/Cq1IYGWBCFkk1s/zQmZzDfrwlpVGUQ==" saltValue="kWgtc5P6XhyBxrvu6Dz7/g==" spinCount="100000" sheet="1" objects="1" scenarios="1" autoFilter="0"/>
  <autoFilter ref="B5:G76" xr:uid="{00000000-0009-0000-0000-00001A000000}"/>
  <customSheetViews>
    <customSheetView guid="{33D191C9-AE75-45EC-B301-B583C3381734}" showGridLines="0" fitToPage="1" printArea="1" showAutoFilter="1">
      <pane ySplit="5" topLeftCell="A39" activePane="bottomLeft" state="frozen"/>
      <selection pane="bottomLeft"/>
      <pageMargins left="0.75" right="0.75" top="1" bottom="1" header="0.5" footer="0.5"/>
      <pageSetup paperSize="9" scale="77" fitToHeight="100" orientation="landscape" r:id="rId1"/>
      <headerFooter alignWithMargins="0"/>
      <autoFilter ref="B1:G1" xr:uid="{8FBD46CB-5749-404B-AA03-2AA05C8D6327}"/>
    </customSheetView>
  </customSheetViews>
  <mergeCells count="1">
    <mergeCell ref="B4:F4"/>
  </mergeCells>
  <dataValidations count="1">
    <dataValidation type="list" allowBlank="1" showInputMessage="1" showErrorMessage="1" sqref="F6:F76" xr:uid="{00000000-0002-0000-1A00-000000000000}">
      <formula1>"Akkoord,Opmerking,N.v.t.,,"</formula1>
    </dataValidation>
  </dataValidations>
  <hyperlinks>
    <hyperlink ref="A5" location="'Grote rechtspersonen'!A2" display="Grote rechtspersonen" xr:uid="{00000000-0004-0000-1A00-000000000000}"/>
  </hyperlinks>
  <pageMargins left="0.75" right="0.75" top="1" bottom="1" header="0.5" footer="0.5"/>
  <pageSetup paperSize="9" scale="77"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Blad29">
    <tabColor rgb="FF951B81"/>
    <pageSetUpPr fitToPage="1"/>
  </sheetPr>
  <dimension ref="A1:J39"/>
  <sheetViews>
    <sheetView showGridLines="0" zoomScaleNormal="100" workbookViewId="0">
      <pane ySplit="5" topLeftCell="A6" activePane="bottomLeft" state="frozen"/>
      <selection activeCell="F6" sqref="F6"/>
      <selection pane="bottomLeft"/>
    </sheetView>
  </sheetViews>
  <sheetFormatPr defaultColWidth="9.1796875" defaultRowHeight="13" x14ac:dyDescent="0.25"/>
  <cols>
    <col min="1" max="1" width="60.7265625" style="5" customWidth="1"/>
    <col min="2" max="2" width="10.7265625" style="6" customWidth="1"/>
    <col min="3" max="3" width="10.81640625" style="6" customWidth="1"/>
    <col min="4" max="4" width="8.453125" style="6" customWidth="1"/>
    <col min="5" max="5" width="10.7265625" style="6" customWidth="1"/>
    <col min="6" max="6" width="10.7265625" style="58" customWidth="1"/>
    <col min="7" max="7" width="22.816406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223" t="s">
        <v>2001</v>
      </c>
      <c r="B5" s="228" t="s">
        <v>642</v>
      </c>
      <c r="C5" s="228" t="s">
        <v>643</v>
      </c>
      <c r="D5" s="228" t="s">
        <v>644</v>
      </c>
      <c r="E5" s="243" t="s">
        <v>645</v>
      </c>
      <c r="F5" s="228" t="s">
        <v>54</v>
      </c>
      <c r="G5" s="199" t="s">
        <v>2858</v>
      </c>
    </row>
    <row r="6" spans="1:10" ht="50" x14ac:dyDescent="0.3">
      <c r="A6" s="16" t="s">
        <v>1937</v>
      </c>
      <c r="B6" s="239" t="s">
        <v>144</v>
      </c>
      <c r="C6" s="11" t="s">
        <v>144</v>
      </c>
      <c r="D6" s="239" t="s">
        <v>144</v>
      </c>
      <c r="E6" s="16" t="s">
        <v>435</v>
      </c>
      <c r="F6" s="55"/>
      <c r="H6" s="64"/>
    </row>
    <row r="7" spans="1:10" ht="29.25" customHeight="1" x14ac:dyDescent="0.3">
      <c r="A7" s="10" t="s">
        <v>595</v>
      </c>
      <c r="B7" s="239" t="s">
        <v>144</v>
      </c>
      <c r="C7" s="11" t="s">
        <v>144</v>
      </c>
      <c r="D7" s="239" t="s">
        <v>144</v>
      </c>
      <c r="E7" s="10" t="s">
        <v>1023</v>
      </c>
      <c r="F7" s="55"/>
      <c r="H7" s="64"/>
    </row>
    <row r="8" spans="1:10" x14ac:dyDescent="0.3">
      <c r="A8" s="10" t="s">
        <v>596</v>
      </c>
      <c r="B8" s="239" t="s">
        <v>144</v>
      </c>
      <c r="C8" s="11" t="s">
        <v>144</v>
      </c>
      <c r="D8" s="239" t="s">
        <v>144</v>
      </c>
      <c r="E8" s="11"/>
      <c r="F8" s="55"/>
      <c r="H8" s="64"/>
    </row>
    <row r="9" spans="1:10" ht="37.5" x14ac:dyDescent="0.3">
      <c r="A9" s="16" t="s">
        <v>2501</v>
      </c>
      <c r="B9" s="239" t="s">
        <v>144</v>
      </c>
      <c r="C9" s="2" t="s">
        <v>144</v>
      </c>
      <c r="D9" s="239" t="s">
        <v>144</v>
      </c>
      <c r="E9" s="11"/>
      <c r="F9" s="55"/>
      <c r="H9" s="64"/>
    </row>
    <row r="10" spans="1:10" ht="25" x14ac:dyDescent="0.3">
      <c r="A10" s="16" t="s">
        <v>1024</v>
      </c>
      <c r="B10" s="239" t="s">
        <v>144</v>
      </c>
      <c r="C10" s="11" t="s">
        <v>144</v>
      </c>
      <c r="D10" s="239" t="s">
        <v>144</v>
      </c>
      <c r="E10" s="10" t="s">
        <v>728</v>
      </c>
      <c r="F10" s="55"/>
      <c r="H10" s="64"/>
    </row>
    <row r="11" spans="1:10" x14ac:dyDescent="0.3">
      <c r="A11" s="79" t="s">
        <v>1348</v>
      </c>
      <c r="B11" s="239" t="s">
        <v>144</v>
      </c>
      <c r="C11" s="11" t="s">
        <v>144</v>
      </c>
      <c r="D11" s="239" t="s">
        <v>144</v>
      </c>
      <c r="E11" s="11"/>
      <c r="F11" s="55"/>
      <c r="H11" s="64"/>
    </row>
    <row r="12" spans="1:10" x14ac:dyDescent="0.3">
      <c r="A12" s="79" t="s">
        <v>1349</v>
      </c>
      <c r="B12" s="239" t="s">
        <v>144</v>
      </c>
      <c r="C12" s="11" t="s">
        <v>144</v>
      </c>
      <c r="D12" s="239" t="s">
        <v>144</v>
      </c>
      <c r="E12" s="11"/>
      <c r="F12" s="55"/>
      <c r="H12" s="64"/>
    </row>
    <row r="13" spans="1:10" x14ac:dyDescent="0.3">
      <c r="A13" s="79" t="s">
        <v>1350</v>
      </c>
      <c r="B13" s="239" t="s">
        <v>144</v>
      </c>
      <c r="C13" s="11" t="s">
        <v>144</v>
      </c>
      <c r="D13" s="239" t="s">
        <v>144</v>
      </c>
      <c r="E13" s="11"/>
      <c r="F13" s="55"/>
      <c r="H13" s="64"/>
    </row>
    <row r="14" spans="1:10" x14ac:dyDescent="0.3">
      <c r="A14" s="79" t="s">
        <v>1</v>
      </c>
      <c r="B14" s="239" t="s">
        <v>144</v>
      </c>
      <c r="C14" s="11" t="s">
        <v>144</v>
      </c>
      <c r="D14" s="239" t="s">
        <v>144</v>
      </c>
      <c r="E14" s="11"/>
      <c r="F14" s="55"/>
      <c r="H14" s="64"/>
    </row>
    <row r="15" spans="1:10" x14ac:dyDescent="0.3">
      <c r="A15" s="10" t="s">
        <v>436</v>
      </c>
      <c r="B15" s="239" t="s">
        <v>144</v>
      </c>
      <c r="C15" s="11" t="s">
        <v>144</v>
      </c>
      <c r="D15" s="239" t="s">
        <v>144</v>
      </c>
      <c r="E15" s="11"/>
      <c r="F15" s="55"/>
      <c r="H15" s="64"/>
    </row>
    <row r="16" spans="1:10" x14ac:dyDescent="0.3">
      <c r="A16" s="79" t="s">
        <v>1351</v>
      </c>
      <c r="B16" s="239" t="s">
        <v>144</v>
      </c>
      <c r="C16" s="11" t="s">
        <v>144</v>
      </c>
      <c r="D16" s="239" t="s">
        <v>144</v>
      </c>
      <c r="E16" s="11"/>
      <c r="F16" s="55"/>
      <c r="H16" s="64"/>
    </row>
    <row r="17" spans="1:8" x14ac:dyDescent="0.3">
      <c r="A17" s="79" t="s">
        <v>1352</v>
      </c>
      <c r="B17" s="239" t="s">
        <v>144</v>
      </c>
      <c r="C17" s="11" t="s">
        <v>144</v>
      </c>
      <c r="D17" s="239" t="s">
        <v>144</v>
      </c>
      <c r="E17" s="11"/>
      <c r="F17" s="55"/>
      <c r="H17" s="64"/>
    </row>
    <row r="18" spans="1:8" x14ac:dyDescent="0.3">
      <c r="A18" s="99" t="s">
        <v>1353</v>
      </c>
      <c r="B18" s="241" t="s">
        <v>144</v>
      </c>
      <c r="C18" s="14" t="s">
        <v>144</v>
      </c>
      <c r="D18" s="241" t="s">
        <v>144</v>
      </c>
      <c r="E18" s="14"/>
      <c r="F18" s="90"/>
      <c r="H18" s="64"/>
    </row>
    <row r="19" spans="1:8" ht="25" x14ac:dyDescent="0.3">
      <c r="A19" s="10" t="s">
        <v>812</v>
      </c>
      <c r="B19" s="239" t="s">
        <v>144</v>
      </c>
      <c r="C19" s="11" t="s">
        <v>144</v>
      </c>
      <c r="D19" s="239" t="s">
        <v>144</v>
      </c>
      <c r="E19" s="11"/>
      <c r="F19" s="55"/>
      <c r="H19" s="64"/>
    </row>
    <row r="20" spans="1:8" ht="37.5" x14ac:dyDescent="0.3">
      <c r="A20" s="16" t="s">
        <v>1025</v>
      </c>
      <c r="B20" s="239" t="s">
        <v>144</v>
      </c>
      <c r="C20" s="11" t="s">
        <v>144</v>
      </c>
      <c r="D20" s="239" t="s">
        <v>144</v>
      </c>
      <c r="E20" s="11"/>
      <c r="F20" s="55"/>
      <c r="H20" s="64"/>
    </row>
    <row r="21" spans="1:8" x14ac:dyDescent="0.3">
      <c r="A21" s="10" t="s">
        <v>437</v>
      </c>
      <c r="B21" s="239" t="s">
        <v>144</v>
      </c>
      <c r="C21" s="11" t="s">
        <v>144</v>
      </c>
      <c r="D21" s="239" t="s">
        <v>144</v>
      </c>
      <c r="E21" s="11"/>
      <c r="F21" s="55"/>
      <c r="H21" s="64"/>
    </row>
    <row r="22" spans="1:8" ht="37.5" x14ac:dyDescent="0.3">
      <c r="A22" s="16" t="s">
        <v>1769</v>
      </c>
      <c r="B22" s="239" t="s">
        <v>144</v>
      </c>
      <c r="C22" s="11" t="s">
        <v>144</v>
      </c>
      <c r="D22" s="239" t="s">
        <v>144</v>
      </c>
      <c r="E22" s="11"/>
      <c r="F22" s="55"/>
      <c r="H22" s="64"/>
    </row>
    <row r="23" spans="1:8" ht="37.5" x14ac:dyDescent="0.3">
      <c r="A23" s="16" t="s">
        <v>1026</v>
      </c>
      <c r="B23" s="239" t="s">
        <v>144</v>
      </c>
      <c r="C23" s="11" t="s">
        <v>144</v>
      </c>
      <c r="D23" s="239" t="s">
        <v>144</v>
      </c>
      <c r="E23" s="11"/>
      <c r="F23" s="55"/>
      <c r="H23" s="64"/>
    </row>
    <row r="24" spans="1:8" x14ac:dyDescent="0.3">
      <c r="A24" s="10" t="s">
        <v>119</v>
      </c>
      <c r="B24" s="239" t="s">
        <v>144</v>
      </c>
      <c r="C24" s="11" t="s">
        <v>144</v>
      </c>
      <c r="D24" s="239" t="s">
        <v>144</v>
      </c>
      <c r="E24" s="11"/>
      <c r="F24" s="55"/>
      <c r="H24" s="64"/>
    </row>
    <row r="25" spans="1:8" ht="50" x14ac:dyDescent="0.3">
      <c r="A25" s="16" t="s">
        <v>1027</v>
      </c>
      <c r="B25" s="239" t="s">
        <v>144</v>
      </c>
      <c r="C25" s="11" t="s">
        <v>144</v>
      </c>
      <c r="D25" s="239" t="s">
        <v>144</v>
      </c>
      <c r="E25" s="11"/>
      <c r="F25" s="55"/>
      <c r="H25" s="64"/>
    </row>
    <row r="26" spans="1:8" ht="87.5" x14ac:dyDescent="0.3">
      <c r="A26" s="16" t="s">
        <v>1770</v>
      </c>
      <c r="B26" s="239" t="s">
        <v>144</v>
      </c>
      <c r="C26" s="11" t="s">
        <v>144</v>
      </c>
      <c r="D26" s="239" t="s">
        <v>144</v>
      </c>
      <c r="E26" s="11"/>
      <c r="F26" s="55"/>
      <c r="H26" s="64"/>
    </row>
    <row r="27" spans="1:8" x14ac:dyDescent="0.3">
      <c r="A27" s="10" t="s">
        <v>430</v>
      </c>
      <c r="B27" s="239" t="s">
        <v>144</v>
      </c>
      <c r="C27" s="11" t="s">
        <v>144</v>
      </c>
      <c r="D27" s="239" t="s">
        <v>144</v>
      </c>
      <c r="E27" s="11"/>
      <c r="F27" s="55"/>
      <c r="H27" s="64"/>
    </row>
    <row r="28" spans="1:8" ht="37.5" x14ac:dyDescent="0.3">
      <c r="A28" s="16" t="s">
        <v>1028</v>
      </c>
      <c r="B28" s="239" t="s">
        <v>144</v>
      </c>
      <c r="C28" s="11" t="s">
        <v>144</v>
      </c>
      <c r="D28" s="239" t="s">
        <v>144</v>
      </c>
      <c r="E28" s="11"/>
      <c r="F28" s="55"/>
      <c r="H28" s="64"/>
    </row>
    <row r="29" spans="1:8" ht="25" x14ac:dyDescent="0.3">
      <c r="A29" s="16" t="s">
        <v>1029</v>
      </c>
      <c r="B29" s="239" t="s">
        <v>144</v>
      </c>
      <c r="C29" s="11" t="s">
        <v>144</v>
      </c>
      <c r="D29" s="239" t="s">
        <v>144</v>
      </c>
      <c r="E29" s="11"/>
      <c r="F29" s="55"/>
      <c r="H29" s="64"/>
    </row>
    <row r="30" spans="1:8" x14ac:dyDescent="0.3">
      <c r="A30" s="10" t="s">
        <v>431</v>
      </c>
      <c r="B30" s="239" t="s">
        <v>144</v>
      </c>
      <c r="C30" s="11" t="s">
        <v>144</v>
      </c>
      <c r="D30" s="239" t="s">
        <v>144</v>
      </c>
      <c r="E30" s="11"/>
      <c r="F30" s="55"/>
      <c r="H30" s="64"/>
    </row>
    <row r="31" spans="1:8" ht="39.75" customHeight="1" x14ac:dyDescent="0.3">
      <c r="A31" s="10" t="s">
        <v>432</v>
      </c>
      <c r="B31" s="239" t="s">
        <v>144</v>
      </c>
      <c r="C31" s="11" t="s">
        <v>144</v>
      </c>
      <c r="D31" s="239" t="s">
        <v>144</v>
      </c>
      <c r="E31" s="11"/>
      <c r="F31" s="55"/>
      <c r="H31" s="64"/>
    </row>
    <row r="32" spans="1:8" x14ac:dyDescent="0.3">
      <c r="A32" s="10" t="s">
        <v>433</v>
      </c>
      <c r="B32" s="239" t="s">
        <v>144</v>
      </c>
      <c r="C32" s="11" t="s">
        <v>144</v>
      </c>
      <c r="D32" s="239" t="s">
        <v>144</v>
      </c>
      <c r="E32" s="2" t="s">
        <v>1030</v>
      </c>
      <c r="F32" s="55"/>
      <c r="H32" s="64"/>
    </row>
    <row r="33" spans="1:8" ht="25" x14ac:dyDescent="0.3">
      <c r="A33" s="10" t="s">
        <v>813</v>
      </c>
      <c r="B33" s="239" t="s">
        <v>144</v>
      </c>
      <c r="C33" s="11" t="s">
        <v>144</v>
      </c>
      <c r="D33" s="239" t="s">
        <v>144</v>
      </c>
      <c r="E33" s="11"/>
      <c r="F33" s="55"/>
      <c r="H33" s="64"/>
    </row>
    <row r="34" spans="1:8" ht="39" customHeight="1" x14ac:dyDescent="0.3">
      <c r="A34" s="122" t="s">
        <v>434</v>
      </c>
      <c r="B34" s="244" t="s">
        <v>144</v>
      </c>
      <c r="C34" s="78" t="s">
        <v>144</v>
      </c>
      <c r="D34" s="244" t="s">
        <v>144</v>
      </c>
      <c r="E34" s="78"/>
      <c r="F34" s="90"/>
      <c r="H34" s="64"/>
    </row>
    <row r="35" spans="1:8" x14ac:dyDescent="0.3">
      <c r="A35" s="10" t="s">
        <v>1938</v>
      </c>
      <c r="B35" s="239" t="s">
        <v>144</v>
      </c>
      <c r="C35" s="11" t="s">
        <v>144</v>
      </c>
      <c r="D35" s="239" t="s">
        <v>144</v>
      </c>
      <c r="E35" s="11"/>
      <c r="F35" s="55"/>
      <c r="H35" s="64"/>
    </row>
    <row r="36" spans="1:8" ht="25" x14ac:dyDescent="0.3">
      <c r="A36" s="10" t="s">
        <v>1939</v>
      </c>
      <c r="B36" s="200" t="s">
        <v>144</v>
      </c>
      <c r="C36" s="2" t="s">
        <v>144</v>
      </c>
      <c r="D36" s="200" t="s">
        <v>144</v>
      </c>
      <c r="E36" s="2"/>
      <c r="F36" s="55"/>
      <c r="H36" s="64"/>
    </row>
    <row r="37" spans="1:8" x14ac:dyDescent="0.3">
      <c r="A37" s="79" t="s">
        <v>1940</v>
      </c>
      <c r="B37" s="200" t="s">
        <v>144</v>
      </c>
      <c r="C37" s="2" t="s">
        <v>144</v>
      </c>
      <c r="D37" s="200" t="s">
        <v>144</v>
      </c>
      <c r="E37" s="2"/>
      <c r="F37" s="55"/>
      <c r="H37" s="64"/>
    </row>
    <row r="38" spans="1:8" x14ac:dyDescent="0.3">
      <c r="A38" s="79" t="s">
        <v>1941</v>
      </c>
      <c r="B38" s="200" t="s">
        <v>144</v>
      </c>
      <c r="C38" s="2" t="s">
        <v>144</v>
      </c>
      <c r="D38" s="200" t="s">
        <v>144</v>
      </c>
      <c r="E38" s="2"/>
      <c r="F38" s="55"/>
      <c r="H38" s="64"/>
    </row>
    <row r="39" spans="1:8" x14ac:dyDescent="0.3">
      <c r="A39" s="12" t="s">
        <v>1942</v>
      </c>
      <c r="B39" s="209" t="s">
        <v>144</v>
      </c>
      <c r="C39" s="4" t="s">
        <v>144</v>
      </c>
      <c r="D39" s="209" t="s">
        <v>144</v>
      </c>
      <c r="E39" s="13"/>
      <c r="F39" s="90"/>
      <c r="H39" s="64"/>
    </row>
  </sheetData>
  <sheetProtection algorithmName="SHA-512" hashValue="lFQpUTYONWYjyGwjy6ObS6jXAuF6lvsSS+yaQRZb9akrrhMUTJitmxXmQWZ6EvLizX3ZmkVzFN8zOaNBSX11xQ==" saltValue="jfard44YrBP2gah7kfLj7g==" spinCount="100000" sheet="1" objects="1" scenarios="1" autoFilter="0"/>
  <autoFilter ref="B5:G39" xr:uid="{00000000-0009-0000-0000-00001B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2" fitToHeight="100" orientation="landscape" r:id="rId1"/>
      <headerFooter alignWithMargins="0"/>
      <autoFilter ref="B1:G1" xr:uid="{AD52296C-6CB7-48DE-9CBB-89B182C0CB8A}"/>
    </customSheetView>
  </customSheetViews>
  <mergeCells count="1">
    <mergeCell ref="B4:F4"/>
  </mergeCells>
  <phoneticPr fontId="2" type="noConversion"/>
  <dataValidations count="1">
    <dataValidation type="list" allowBlank="1" showInputMessage="1" showErrorMessage="1" sqref="F6:F39" xr:uid="{00000000-0002-0000-1B00-000000000000}">
      <formula1>"Akkoord,Opmerking,N.v.t.,,"</formula1>
    </dataValidation>
  </dataValidations>
  <hyperlinks>
    <hyperlink ref="A5" location="'Eenmanszaken en VOF'!A2" display="Eenmanszaken en V.O.F." xr:uid="{00000000-0004-0000-1B00-000000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3800"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Blad30">
    <tabColor rgb="FF951B81"/>
    <pageSetUpPr fitToPage="1"/>
  </sheetPr>
  <dimension ref="A1:J39"/>
  <sheetViews>
    <sheetView showGridLines="0" zoomScaleNormal="100" workbookViewId="0">
      <pane ySplit="5" topLeftCell="A6" activePane="bottomLeft" state="frozen"/>
      <selection activeCell="F6" sqref="F6"/>
      <selection pane="bottomLeft" activeCell="A25" sqref="A25"/>
    </sheetView>
  </sheetViews>
  <sheetFormatPr defaultColWidth="9.1796875" defaultRowHeight="13" x14ac:dyDescent="0.25"/>
  <cols>
    <col min="1" max="1" width="60.7265625" style="5" customWidth="1"/>
    <col min="2" max="2" width="10.7265625" style="1" customWidth="1"/>
    <col min="3" max="3" width="10.81640625" style="1" customWidth="1"/>
    <col min="4" max="4" width="8.453125" style="1" customWidth="1"/>
    <col min="5" max="5" width="10.7265625" style="6" customWidth="1"/>
    <col min="6" max="6" width="10.7265625" style="58" customWidth="1"/>
    <col min="7" max="7" width="24.453125" style="60"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204" t="s">
        <v>234</v>
      </c>
      <c r="B5" s="197" t="s">
        <v>642</v>
      </c>
      <c r="C5" s="197" t="s">
        <v>643</v>
      </c>
      <c r="D5" s="197" t="s">
        <v>644</v>
      </c>
      <c r="E5" s="198" t="s">
        <v>645</v>
      </c>
      <c r="F5" s="197" t="s">
        <v>54</v>
      </c>
      <c r="G5" s="199" t="s">
        <v>2858</v>
      </c>
    </row>
    <row r="6" spans="1:10" x14ac:dyDescent="0.3">
      <c r="A6" s="109" t="s">
        <v>546</v>
      </c>
      <c r="B6" s="231" t="s">
        <v>144</v>
      </c>
      <c r="C6" s="131" t="s">
        <v>144</v>
      </c>
      <c r="D6" s="231" t="s">
        <v>144</v>
      </c>
      <c r="E6" s="8"/>
      <c r="F6" s="55"/>
      <c r="G6" s="95"/>
      <c r="H6" s="64"/>
    </row>
    <row r="7" spans="1:10" ht="50" x14ac:dyDescent="0.3">
      <c r="A7" s="109" t="s">
        <v>1691</v>
      </c>
      <c r="B7" s="231" t="s">
        <v>144</v>
      </c>
      <c r="C7" s="131" t="s">
        <v>144</v>
      </c>
      <c r="D7" s="231" t="s">
        <v>144</v>
      </c>
      <c r="E7" s="8" t="s">
        <v>382</v>
      </c>
      <c r="F7" s="55"/>
      <c r="G7" s="95"/>
      <c r="H7" s="64"/>
    </row>
    <row r="8" spans="1:10" ht="62.5" x14ac:dyDescent="0.3">
      <c r="A8" s="31" t="s">
        <v>1354</v>
      </c>
      <c r="B8" s="208" t="s">
        <v>144</v>
      </c>
      <c r="C8" s="32" t="s">
        <v>144</v>
      </c>
      <c r="D8" s="208" t="s">
        <v>144</v>
      </c>
      <c r="E8" s="31" t="s">
        <v>1630</v>
      </c>
      <c r="F8" s="55"/>
      <c r="G8" s="95"/>
      <c r="H8" s="64"/>
    </row>
    <row r="9" spans="1:10" ht="37.5" x14ac:dyDescent="0.3">
      <c r="A9" s="10" t="s">
        <v>497</v>
      </c>
      <c r="B9" s="200" t="s">
        <v>144</v>
      </c>
      <c r="C9" s="2" t="s">
        <v>144</v>
      </c>
      <c r="D9" s="200" t="s">
        <v>144</v>
      </c>
      <c r="E9" s="11"/>
      <c r="F9" s="55"/>
      <c r="H9" s="64"/>
    </row>
    <row r="10" spans="1:10" ht="27.75" customHeight="1" x14ac:dyDescent="0.3">
      <c r="A10" s="16" t="s">
        <v>1355</v>
      </c>
      <c r="B10" s="200" t="s">
        <v>144</v>
      </c>
      <c r="C10" s="2" t="s">
        <v>144</v>
      </c>
      <c r="D10" s="200" t="s">
        <v>144</v>
      </c>
      <c r="E10" s="10" t="s">
        <v>383</v>
      </c>
      <c r="F10" s="55"/>
      <c r="H10" s="64"/>
    </row>
    <row r="11" spans="1:10" x14ac:dyDescent="0.3">
      <c r="A11" s="79" t="s">
        <v>1356</v>
      </c>
      <c r="B11" s="200" t="s">
        <v>144</v>
      </c>
      <c r="C11" s="2" t="s">
        <v>144</v>
      </c>
      <c r="D11" s="200" t="s">
        <v>144</v>
      </c>
      <c r="E11" s="11"/>
      <c r="F11" s="55"/>
      <c r="H11" s="64"/>
    </row>
    <row r="12" spans="1:10" x14ac:dyDescent="0.3">
      <c r="A12" s="79" t="s">
        <v>1357</v>
      </c>
      <c r="B12" s="200" t="s">
        <v>144</v>
      </c>
      <c r="C12" s="2" t="s">
        <v>144</v>
      </c>
      <c r="D12" s="200" t="s">
        <v>144</v>
      </c>
      <c r="E12" s="11"/>
      <c r="F12" s="55"/>
      <c r="H12" s="64"/>
    </row>
    <row r="13" spans="1:10" ht="25" x14ac:dyDescent="0.3">
      <c r="A13" s="79" t="s">
        <v>1358</v>
      </c>
      <c r="B13" s="200" t="s">
        <v>144</v>
      </c>
      <c r="C13" s="2" t="s">
        <v>144</v>
      </c>
      <c r="D13" s="200" t="s">
        <v>144</v>
      </c>
      <c r="E13" s="11"/>
      <c r="F13" s="55"/>
      <c r="H13" s="64"/>
    </row>
    <row r="14" spans="1:10" ht="37.5" x14ac:dyDescent="0.3">
      <c r="A14" s="16" t="s">
        <v>2982</v>
      </c>
      <c r="B14" s="200" t="s">
        <v>646</v>
      </c>
      <c r="C14" s="2" t="s">
        <v>646</v>
      </c>
      <c r="D14" s="200" t="s">
        <v>646</v>
      </c>
      <c r="E14" s="16" t="s">
        <v>1031</v>
      </c>
      <c r="F14" s="55"/>
      <c r="G14" s="60" t="s">
        <v>1856</v>
      </c>
      <c r="H14" s="64"/>
    </row>
    <row r="15" spans="1:10" ht="50" x14ac:dyDescent="0.3">
      <c r="A15" s="16" t="s">
        <v>2983</v>
      </c>
      <c r="B15" s="200" t="s">
        <v>646</v>
      </c>
      <c r="C15" s="2" t="s">
        <v>646</v>
      </c>
      <c r="D15" s="200" t="s">
        <v>646</v>
      </c>
      <c r="E15" s="16"/>
      <c r="F15" s="55"/>
      <c r="G15" s="60" t="s">
        <v>993</v>
      </c>
      <c r="H15" s="64"/>
    </row>
    <row r="16" spans="1:10" ht="37.5" x14ac:dyDescent="0.3">
      <c r="A16" s="16" t="s">
        <v>1669</v>
      </c>
      <c r="B16" s="200" t="s">
        <v>646</v>
      </c>
      <c r="C16" s="2" t="s">
        <v>646</v>
      </c>
      <c r="D16" s="200" t="s">
        <v>646</v>
      </c>
      <c r="E16" s="16" t="s">
        <v>1631</v>
      </c>
      <c r="F16" s="55"/>
      <c r="G16" s="95"/>
      <c r="H16" s="64"/>
    </row>
    <row r="17" spans="1:10" s="46" customFormat="1" x14ac:dyDescent="0.3">
      <c r="A17" s="34" t="s">
        <v>674</v>
      </c>
      <c r="B17" s="200" t="s">
        <v>144</v>
      </c>
      <c r="C17" s="2" t="s">
        <v>144</v>
      </c>
      <c r="D17" s="200" t="s">
        <v>144</v>
      </c>
      <c r="E17" s="36"/>
      <c r="F17" s="55"/>
      <c r="G17" s="60"/>
      <c r="H17" s="64"/>
      <c r="I17" s="60"/>
      <c r="J17" s="60"/>
    </row>
    <row r="18" spans="1:10" ht="50" x14ac:dyDescent="0.3">
      <c r="A18" s="10" t="s">
        <v>498</v>
      </c>
      <c r="B18" s="200" t="s">
        <v>144</v>
      </c>
      <c r="C18" s="2" t="s">
        <v>144</v>
      </c>
      <c r="D18" s="200" t="s">
        <v>144</v>
      </c>
      <c r="E18" s="16" t="s">
        <v>1632</v>
      </c>
      <c r="F18" s="55"/>
      <c r="H18" s="64"/>
    </row>
    <row r="19" spans="1:10" ht="25" x14ac:dyDescent="0.3">
      <c r="A19" s="10" t="s">
        <v>499</v>
      </c>
      <c r="B19" s="200" t="s">
        <v>144</v>
      </c>
      <c r="C19" s="2" t="s">
        <v>144</v>
      </c>
      <c r="D19" s="200" t="s">
        <v>144</v>
      </c>
      <c r="E19" s="2" t="s">
        <v>1633</v>
      </c>
      <c r="F19" s="55"/>
      <c r="H19" s="64"/>
    </row>
    <row r="20" spans="1:10" ht="25" x14ac:dyDescent="0.3">
      <c r="A20" s="10" t="s">
        <v>1032</v>
      </c>
      <c r="B20" s="200" t="s">
        <v>144</v>
      </c>
      <c r="C20" s="2" t="s">
        <v>144</v>
      </c>
      <c r="D20" s="200" t="s">
        <v>144</v>
      </c>
      <c r="E20" s="11"/>
      <c r="F20" s="55"/>
      <c r="H20" s="64"/>
    </row>
    <row r="21" spans="1:10" ht="50" x14ac:dyDescent="0.3">
      <c r="A21" s="16" t="s">
        <v>1635</v>
      </c>
      <c r="B21" s="200" t="s">
        <v>646</v>
      </c>
      <c r="C21" s="2" t="s">
        <v>646</v>
      </c>
      <c r="D21" s="200" t="s">
        <v>843</v>
      </c>
      <c r="E21" s="16" t="s">
        <v>2597</v>
      </c>
      <c r="F21" s="55"/>
      <c r="G21" s="95"/>
      <c r="H21" s="64"/>
    </row>
    <row r="22" spans="1:10" s="46" customFormat="1" x14ac:dyDescent="0.3">
      <c r="A22" s="34" t="s">
        <v>500</v>
      </c>
      <c r="B22" s="200" t="s">
        <v>646</v>
      </c>
      <c r="C22" s="2" t="s">
        <v>646</v>
      </c>
      <c r="D22" s="200" t="s">
        <v>843</v>
      </c>
      <c r="E22" s="2"/>
      <c r="F22" s="55"/>
      <c r="G22" s="60"/>
      <c r="H22" s="64"/>
      <c r="I22" s="60"/>
      <c r="J22" s="60"/>
    </row>
    <row r="23" spans="1:10" ht="25" x14ac:dyDescent="0.3">
      <c r="A23" s="16" t="s">
        <v>1636</v>
      </c>
      <c r="B23" s="200" t="s">
        <v>646</v>
      </c>
      <c r="C23" s="2" t="s">
        <v>646</v>
      </c>
      <c r="D23" s="200" t="s">
        <v>843</v>
      </c>
      <c r="E23" s="2" t="s">
        <v>1771</v>
      </c>
      <c r="F23" s="55"/>
      <c r="G23" s="95"/>
      <c r="H23" s="64"/>
    </row>
    <row r="24" spans="1:10" ht="29.25" customHeight="1" x14ac:dyDescent="0.3">
      <c r="A24" s="16" t="s">
        <v>1637</v>
      </c>
      <c r="B24" s="200" t="s">
        <v>144</v>
      </c>
      <c r="C24" s="2" t="s">
        <v>144</v>
      </c>
      <c r="D24" s="200" t="s">
        <v>144</v>
      </c>
      <c r="E24" s="16" t="s">
        <v>1634</v>
      </c>
      <c r="F24" s="55"/>
      <c r="G24" s="95"/>
      <c r="H24" s="64"/>
    </row>
    <row r="25" spans="1:10" s="46" customFormat="1" x14ac:dyDescent="0.3">
      <c r="A25" s="34" t="s">
        <v>675</v>
      </c>
      <c r="B25" s="200" t="s">
        <v>646</v>
      </c>
      <c r="C25" s="2" t="s">
        <v>646</v>
      </c>
      <c r="D25" s="200" t="s">
        <v>646</v>
      </c>
      <c r="E25" s="2" t="s">
        <v>1638</v>
      </c>
      <c r="F25" s="55"/>
      <c r="G25" s="60"/>
      <c r="H25" s="64"/>
      <c r="I25" s="60"/>
      <c r="J25" s="60"/>
    </row>
    <row r="26" spans="1:10" ht="37.5" x14ac:dyDescent="0.3">
      <c r="A26" s="16" t="s">
        <v>2502</v>
      </c>
      <c r="B26" s="200" t="s">
        <v>646</v>
      </c>
      <c r="C26" s="2" t="s">
        <v>646</v>
      </c>
      <c r="D26" s="200"/>
      <c r="E26" s="10" t="s">
        <v>529</v>
      </c>
      <c r="F26" s="55"/>
      <c r="H26" s="64"/>
    </row>
    <row r="27" spans="1:10" ht="37.5" x14ac:dyDescent="0.3">
      <c r="A27" s="16" t="s">
        <v>1692</v>
      </c>
      <c r="B27" s="200" t="s">
        <v>646</v>
      </c>
      <c r="C27" s="2" t="s">
        <v>646</v>
      </c>
      <c r="D27" s="200" t="s">
        <v>646</v>
      </c>
      <c r="E27" s="16" t="s">
        <v>154</v>
      </c>
      <c r="F27" s="55"/>
      <c r="G27" s="95"/>
      <c r="H27" s="64"/>
    </row>
    <row r="28" spans="1:10" ht="25" x14ac:dyDescent="0.3">
      <c r="A28" s="16" t="s">
        <v>2154</v>
      </c>
      <c r="B28" s="200" t="s">
        <v>646</v>
      </c>
      <c r="C28" s="2" t="s">
        <v>646</v>
      </c>
      <c r="D28" s="200" t="s">
        <v>646</v>
      </c>
      <c r="E28" s="16"/>
      <c r="F28" s="55"/>
      <c r="H28" s="64"/>
    </row>
    <row r="29" spans="1:10" x14ac:dyDescent="0.3">
      <c r="A29" s="16" t="s">
        <v>2188</v>
      </c>
      <c r="B29" s="200" t="s">
        <v>646</v>
      </c>
      <c r="C29" s="2" t="s">
        <v>646</v>
      </c>
      <c r="D29" s="200" t="s">
        <v>646</v>
      </c>
      <c r="E29" s="16" t="s">
        <v>1359</v>
      </c>
      <c r="F29" s="55"/>
      <c r="H29" s="64"/>
    </row>
    <row r="30" spans="1:10" x14ac:dyDescent="0.3">
      <c r="A30" s="16" t="s">
        <v>599</v>
      </c>
      <c r="B30" s="200" t="s">
        <v>145</v>
      </c>
      <c r="C30" s="2" t="s">
        <v>145</v>
      </c>
      <c r="D30" s="200" t="s">
        <v>145</v>
      </c>
      <c r="E30" s="10"/>
      <c r="F30" s="55"/>
      <c r="H30" s="64"/>
    </row>
    <row r="31" spans="1:10" ht="50" x14ac:dyDescent="0.3">
      <c r="A31" s="10" t="s">
        <v>723</v>
      </c>
      <c r="B31" s="200" t="s">
        <v>145</v>
      </c>
      <c r="C31" s="2" t="s">
        <v>145</v>
      </c>
      <c r="D31" s="200" t="s">
        <v>145</v>
      </c>
      <c r="E31" s="10"/>
      <c r="F31" s="55"/>
      <c r="H31" s="64"/>
    </row>
    <row r="32" spans="1:10" ht="37.5" x14ac:dyDescent="0.3">
      <c r="A32" s="16" t="s">
        <v>2358</v>
      </c>
      <c r="B32" s="200" t="s">
        <v>145</v>
      </c>
      <c r="C32" s="2" t="s">
        <v>145</v>
      </c>
      <c r="D32" s="200" t="s">
        <v>145</v>
      </c>
      <c r="E32" s="16" t="s">
        <v>1943</v>
      </c>
      <c r="F32" s="55"/>
      <c r="H32" s="64"/>
    </row>
    <row r="33" spans="1:8" ht="37.5" x14ac:dyDescent="0.3">
      <c r="A33" s="10" t="s">
        <v>724</v>
      </c>
      <c r="B33" s="200" t="s">
        <v>145</v>
      </c>
      <c r="C33" s="2" t="s">
        <v>145</v>
      </c>
      <c r="D33" s="200" t="s">
        <v>145</v>
      </c>
      <c r="E33" s="10"/>
      <c r="F33" s="55"/>
      <c r="H33" s="64"/>
    </row>
    <row r="34" spans="1:8" ht="50" x14ac:dyDescent="0.3">
      <c r="A34" s="22" t="s">
        <v>1772</v>
      </c>
      <c r="B34" s="200" t="s">
        <v>145</v>
      </c>
      <c r="C34" s="2" t="s">
        <v>145</v>
      </c>
      <c r="D34" s="200" t="s">
        <v>145</v>
      </c>
      <c r="E34" s="16" t="s">
        <v>1944</v>
      </c>
      <c r="F34" s="55"/>
      <c r="H34" s="64"/>
    </row>
    <row r="35" spans="1:8" x14ac:dyDescent="0.3">
      <c r="A35" s="16" t="s">
        <v>2297</v>
      </c>
      <c r="B35" s="200" t="s">
        <v>145</v>
      </c>
      <c r="C35" s="2" t="s">
        <v>145</v>
      </c>
      <c r="D35" s="200" t="s">
        <v>145</v>
      </c>
      <c r="E35" s="11"/>
      <c r="F35" s="55"/>
      <c r="H35" s="64"/>
    </row>
    <row r="36" spans="1:8" ht="62.5" x14ac:dyDescent="0.3">
      <c r="A36" s="22" t="s">
        <v>725</v>
      </c>
      <c r="B36" s="200" t="s">
        <v>145</v>
      </c>
      <c r="C36" s="2" t="s">
        <v>145</v>
      </c>
      <c r="D36" s="200" t="s">
        <v>145</v>
      </c>
      <c r="E36" s="16" t="s">
        <v>1945</v>
      </c>
      <c r="F36" s="55"/>
      <c r="H36" s="64"/>
    </row>
    <row r="37" spans="1:8" ht="25" x14ac:dyDescent="0.3">
      <c r="A37" s="24" t="s">
        <v>727</v>
      </c>
      <c r="B37" s="200" t="s">
        <v>145</v>
      </c>
      <c r="C37" s="2" t="s">
        <v>145</v>
      </c>
      <c r="D37" s="200" t="s">
        <v>145</v>
      </c>
      <c r="E37" s="78"/>
      <c r="F37" s="55"/>
      <c r="H37" s="64"/>
    </row>
    <row r="38" spans="1:8" x14ac:dyDescent="0.3">
      <c r="A38" s="24" t="s">
        <v>1033</v>
      </c>
      <c r="B38" s="200" t="s">
        <v>145</v>
      </c>
      <c r="C38" s="2" t="s">
        <v>145</v>
      </c>
      <c r="D38" s="200" t="s">
        <v>145</v>
      </c>
      <c r="E38" s="78"/>
      <c r="F38" s="55"/>
      <c r="H38" s="64"/>
    </row>
    <row r="39" spans="1:8" ht="37.5" x14ac:dyDescent="0.3">
      <c r="A39" s="25" t="s">
        <v>726</v>
      </c>
      <c r="B39" s="209" t="s">
        <v>145</v>
      </c>
      <c r="C39" s="4" t="s">
        <v>145</v>
      </c>
      <c r="D39" s="209" t="s">
        <v>145</v>
      </c>
      <c r="E39" s="13"/>
      <c r="F39" s="55"/>
      <c r="H39" s="64"/>
    </row>
  </sheetData>
  <sheetProtection algorithmName="SHA-512" hashValue="8h0or/CGBpWTL5TglBU1sY667HeoU3oDgk2LS2BKU/p9AXik6t5tWCb0GZjzGdqFHLyIfgAcaeKsUKcQsPiDNQ==" saltValue="dXUqNSz64weJGvz3KbaUSw==" spinCount="100000" sheet="1" objects="1" scenarios="1" autoFilter="0"/>
  <autoFilter ref="B5:G39" xr:uid="{00000000-0009-0000-0000-00001C000000}"/>
  <customSheetViews>
    <customSheetView guid="{33D191C9-AE75-45EC-B301-B583C3381734}" showGridLines="0" fitToPage="1" printArea="1" showAutoFilter="1">
      <pane ySplit="5" topLeftCell="A30" activePane="bottomLeft" state="frozen"/>
      <selection pane="bottomLeft"/>
      <pageMargins left="0.75" right="0.75" top="1" bottom="1" header="0.5" footer="0.5"/>
      <pageSetup paperSize="9" scale="82" fitToHeight="100" orientation="landscape" r:id="rId1"/>
      <headerFooter alignWithMargins="0"/>
      <autoFilter ref="B1:G1" xr:uid="{33C46439-EE9B-4DB9-8EE5-A34E94A473BB}"/>
    </customSheetView>
  </customSheetViews>
  <mergeCells count="1">
    <mergeCell ref="B4:F4"/>
  </mergeCells>
  <phoneticPr fontId="2" type="noConversion"/>
  <dataValidations count="1">
    <dataValidation type="list" allowBlank="1" showInputMessage="1" showErrorMessage="1" sqref="F7:F39" xr:uid="{00000000-0002-0000-1C00-000000000000}">
      <formula1>"Akkoord,Opmerking,N.v.t.,,"</formula1>
    </dataValidation>
  </dataValidations>
  <hyperlinks>
    <hyperlink ref="A5" location="'Commerciele stichtingen en ver.'!A2" display="Commerciële stichtingen en verenigingen" xr:uid="{00000000-0004-0000-1C00-000000000000}"/>
    <hyperlink ref="A17" location="'Commerciele stichtingen en ver.'!A16" display="EiGEN VERMOGEN" xr:uid="{00000000-0004-0000-1C00-000001000000}"/>
    <hyperlink ref="A22" location="'Commerciele stichtingen en ver.'!A22" display="WINST- EN VERLIESREKENING" xr:uid="{00000000-0004-0000-1C00-000002000000}"/>
    <hyperlink ref="A25" location="'Commerciele stichtingen en ver.'!A1" display="Beloning bestuurders" xr:uid="{00000000-0004-0000-1C00-000003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2773"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Blad31">
    <tabColor rgb="FF951B81"/>
    <pageSetUpPr fitToPage="1"/>
  </sheetPr>
  <dimension ref="A1:J89"/>
  <sheetViews>
    <sheetView showGridLines="0" zoomScaleNormal="100" workbookViewId="0">
      <pane ySplit="5" topLeftCell="A6" activePane="bottomLeft" state="frozen"/>
      <selection activeCell="F6" sqref="F6"/>
      <selection pane="bottomLeft"/>
    </sheetView>
  </sheetViews>
  <sheetFormatPr defaultColWidth="9.1796875" defaultRowHeight="13" x14ac:dyDescent="0.25"/>
  <cols>
    <col min="1" max="1" width="61.7265625" style="5" customWidth="1"/>
    <col min="2" max="2" width="10.7265625" style="1" customWidth="1"/>
    <col min="3" max="3" width="10.81640625" style="1" customWidth="1"/>
    <col min="4" max="4" width="8.453125" style="1" customWidth="1"/>
    <col min="5" max="5" width="14.26953125" style="6" customWidth="1"/>
    <col min="6" max="6" width="10.7265625" style="58" customWidth="1"/>
    <col min="7" max="7" width="49.1796875" style="60"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240" t="s">
        <v>1672</v>
      </c>
      <c r="B5" s="237" t="s">
        <v>642</v>
      </c>
      <c r="C5" s="237" t="s">
        <v>643</v>
      </c>
      <c r="D5" s="237" t="s">
        <v>644</v>
      </c>
      <c r="E5" s="238" t="s">
        <v>645</v>
      </c>
      <c r="F5" s="237" t="s">
        <v>54</v>
      </c>
      <c r="G5" s="199" t="s">
        <v>2858</v>
      </c>
    </row>
    <row r="6" spans="1:10" ht="50" x14ac:dyDescent="0.3">
      <c r="A6" s="16" t="s">
        <v>1034</v>
      </c>
      <c r="B6" s="200" t="s">
        <v>144</v>
      </c>
      <c r="C6" s="2" t="s">
        <v>144</v>
      </c>
      <c r="D6" s="200" t="s">
        <v>144</v>
      </c>
      <c r="E6" s="16" t="s">
        <v>1360</v>
      </c>
      <c r="F6" s="55"/>
      <c r="H6" s="64" t="s">
        <v>2182</v>
      </c>
    </row>
    <row r="7" spans="1:10" ht="37.5" x14ac:dyDescent="0.3">
      <c r="A7" s="10" t="s">
        <v>501</v>
      </c>
      <c r="B7" s="200" t="s">
        <v>144</v>
      </c>
      <c r="C7" s="2" t="s">
        <v>144</v>
      </c>
      <c r="D7" s="200" t="s">
        <v>144</v>
      </c>
      <c r="E7" s="11"/>
      <c r="F7" s="55"/>
      <c r="H7" s="64" t="s">
        <v>2182</v>
      </c>
    </row>
    <row r="8" spans="1:10" ht="50" x14ac:dyDescent="0.3">
      <c r="A8" s="16" t="s">
        <v>2503</v>
      </c>
      <c r="B8" s="200" t="s">
        <v>144</v>
      </c>
      <c r="C8" s="2" t="s">
        <v>144</v>
      </c>
      <c r="D8" s="200" t="s">
        <v>144</v>
      </c>
      <c r="E8" s="11" t="s">
        <v>836</v>
      </c>
      <c r="F8" s="55"/>
      <c r="H8" s="64" t="s">
        <v>2182</v>
      </c>
    </row>
    <row r="9" spans="1:10" ht="50" x14ac:dyDescent="0.3">
      <c r="A9" s="16" t="s">
        <v>1693</v>
      </c>
      <c r="B9" s="200" t="s">
        <v>144</v>
      </c>
      <c r="C9" s="2" t="s">
        <v>144</v>
      </c>
      <c r="D9" s="200" t="s">
        <v>144</v>
      </c>
      <c r="E9" s="2" t="s">
        <v>1035</v>
      </c>
      <c r="F9" s="55"/>
      <c r="H9" s="64" t="s">
        <v>2182</v>
      </c>
    </row>
    <row r="10" spans="1:10" ht="37.5" x14ac:dyDescent="0.3">
      <c r="A10" s="16" t="s">
        <v>1036</v>
      </c>
      <c r="B10" s="200" t="s">
        <v>144</v>
      </c>
      <c r="C10" s="2" t="s">
        <v>144</v>
      </c>
      <c r="D10" s="200" t="s">
        <v>144</v>
      </c>
      <c r="E10" s="2" t="s">
        <v>1037</v>
      </c>
      <c r="F10" s="55"/>
      <c r="H10" s="64" t="s">
        <v>2182</v>
      </c>
    </row>
    <row r="11" spans="1:10" ht="25" x14ac:dyDescent="0.3">
      <c r="A11" s="16" t="s">
        <v>1694</v>
      </c>
      <c r="B11" s="200" t="s">
        <v>144</v>
      </c>
      <c r="C11" s="2" t="s">
        <v>144</v>
      </c>
      <c r="D11" s="200" t="s">
        <v>144</v>
      </c>
      <c r="E11" s="2" t="s">
        <v>1035</v>
      </c>
      <c r="F11" s="55"/>
      <c r="H11" s="64" t="s">
        <v>2182</v>
      </c>
    </row>
    <row r="12" spans="1:10" x14ac:dyDescent="0.3">
      <c r="A12" s="86" t="s">
        <v>2298</v>
      </c>
      <c r="B12" s="200" t="s">
        <v>144</v>
      </c>
      <c r="C12" s="2" t="s">
        <v>144</v>
      </c>
      <c r="D12" s="200" t="s">
        <v>144</v>
      </c>
      <c r="E12" s="2" t="s">
        <v>1038</v>
      </c>
      <c r="F12" s="55"/>
      <c r="H12" s="64" t="s">
        <v>2182</v>
      </c>
    </row>
    <row r="13" spans="1:10" ht="50" x14ac:dyDescent="0.3">
      <c r="A13" s="16" t="s">
        <v>2504</v>
      </c>
      <c r="B13" s="200" t="s">
        <v>144</v>
      </c>
      <c r="C13" s="2" t="s">
        <v>144</v>
      </c>
      <c r="D13" s="200" t="s">
        <v>144</v>
      </c>
      <c r="E13" s="16" t="s">
        <v>1039</v>
      </c>
      <c r="F13" s="55"/>
      <c r="H13" s="64" t="s">
        <v>2182</v>
      </c>
    </row>
    <row r="14" spans="1:10" ht="37.5" x14ac:dyDescent="0.3">
      <c r="A14" s="10" t="s">
        <v>755</v>
      </c>
      <c r="B14" s="200" t="s">
        <v>144</v>
      </c>
      <c r="C14" s="2" t="s">
        <v>144</v>
      </c>
      <c r="D14" s="200" t="s">
        <v>144</v>
      </c>
      <c r="E14" s="16" t="s">
        <v>1040</v>
      </c>
      <c r="F14" s="55"/>
      <c r="H14" s="64" t="s">
        <v>2182</v>
      </c>
    </row>
    <row r="15" spans="1:10" ht="25.5" x14ac:dyDescent="0.3">
      <c r="A15" s="16" t="s">
        <v>2255</v>
      </c>
      <c r="B15" s="200" t="s">
        <v>144</v>
      </c>
      <c r="C15" s="2" t="s">
        <v>144</v>
      </c>
      <c r="D15" s="200" t="s">
        <v>144</v>
      </c>
      <c r="E15" s="16" t="s">
        <v>2155</v>
      </c>
      <c r="F15" s="55"/>
      <c r="H15" s="64" t="s">
        <v>2182</v>
      </c>
    </row>
    <row r="16" spans="1:10" x14ac:dyDescent="0.3">
      <c r="A16" s="16" t="s">
        <v>482</v>
      </c>
      <c r="B16" s="200" t="s">
        <v>144</v>
      </c>
      <c r="C16" s="2" t="s">
        <v>144</v>
      </c>
      <c r="D16" s="200" t="s">
        <v>144</v>
      </c>
      <c r="E16" s="16"/>
      <c r="F16" s="55"/>
      <c r="H16" s="64" t="s">
        <v>2182</v>
      </c>
    </row>
    <row r="17" spans="1:8" x14ac:dyDescent="0.3">
      <c r="A17" s="10" t="s">
        <v>381</v>
      </c>
      <c r="B17" s="200" t="s">
        <v>144</v>
      </c>
      <c r="C17" s="2" t="s">
        <v>144</v>
      </c>
      <c r="D17" s="200" t="s">
        <v>144</v>
      </c>
      <c r="E17" s="11"/>
      <c r="F17" s="55"/>
      <c r="H17" s="64" t="s">
        <v>2182</v>
      </c>
    </row>
    <row r="18" spans="1:8" ht="50" x14ac:dyDescent="0.3">
      <c r="A18" s="16" t="s">
        <v>560</v>
      </c>
      <c r="B18" s="200" t="s">
        <v>144</v>
      </c>
      <c r="C18" s="2" t="s">
        <v>144</v>
      </c>
      <c r="D18" s="200" t="s">
        <v>144</v>
      </c>
      <c r="E18" s="16" t="s">
        <v>837</v>
      </c>
      <c r="F18" s="55"/>
      <c r="H18" s="64" t="s">
        <v>2182</v>
      </c>
    </row>
    <row r="19" spans="1:8" ht="37.5" x14ac:dyDescent="0.3">
      <c r="A19" s="16" t="s">
        <v>2505</v>
      </c>
      <c r="B19" s="200" t="s">
        <v>144</v>
      </c>
      <c r="C19" s="2" t="s">
        <v>144</v>
      </c>
      <c r="D19" s="200" t="s">
        <v>144</v>
      </c>
      <c r="E19" s="16" t="s">
        <v>1041</v>
      </c>
      <c r="F19" s="55"/>
      <c r="H19" s="64" t="s">
        <v>2182</v>
      </c>
    </row>
    <row r="20" spans="1:8" ht="25" x14ac:dyDescent="0.3">
      <c r="A20" s="16" t="s">
        <v>2506</v>
      </c>
      <c r="B20" s="200" t="s">
        <v>144</v>
      </c>
      <c r="C20" s="2" t="s">
        <v>144</v>
      </c>
      <c r="D20" s="200" t="s">
        <v>144</v>
      </c>
      <c r="E20" s="16" t="s">
        <v>1042</v>
      </c>
      <c r="F20" s="55"/>
      <c r="H20" s="64" t="s">
        <v>2182</v>
      </c>
    </row>
    <row r="21" spans="1:8" ht="25" x14ac:dyDescent="0.3">
      <c r="A21" s="10" t="s">
        <v>561</v>
      </c>
      <c r="B21" s="200" t="s">
        <v>144</v>
      </c>
      <c r="C21" s="2" t="s">
        <v>144</v>
      </c>
      <c r="D21" s="200" t="s">
        <v>144</v>
      </c>
      <c r="E21" s="16" t="s">
        <v>1043</v>
      </c>
      <c r="F21" s="55"/>
      <c r="H21" s="64" t="s">
        <v>2182</v>
      </c>
    </row>
    <row r="22" spans="1:8" ht="37.5" x14ac:dyDescent="0.3">
      <c r="A22" s="16" t="s">
        <v>2734</v>
      </c>
      <c r="B22" s="200" t="s">
        <v>144</v>
      </c>
      <c r="C22" s="2" t="s">
        <v>144</v>
      </c>
      <c r="D22" s="200" t="s">
        <v>144</v>
      </c>
      <c r="E22" s="10" t="s">
        <v>838</v>
      </c>
      <c r="F22" s="55"/>
      <c r="H22" s="64" t="s">
        <v>2182</v>
      </c>
    </row>
    <row r="23" spans="1:8" x14ac:dyDescent="0.3">
      <c r="A23" s="10" t="s">
        <v>562</v>
      </c>
      <c r="B23" s="200" t="s">
        <v>144</v>
      </c>
      <c r="C23" s="2" t="s">
        <v>144</v>
      </c>
      <c r="D23" s="200" t="s">
        <v>144</v>
      </c>
      <c r="E23" s="11"/>
      <c r="F23" s="55"/>
      <c r="H23" s="64" t="s">
        <v>2182</v>
      </c>
    </row>
    <row r="24" spans="1:8" ht="37.5" x14ac:dyDescent="0.3">
      <c r="A24" s="16" t="s">
        <v>1044</v>
      </c>
      <c r="B24" s="200" t="s">
        <v>144</v>
      </c>
      <c r="C24" s="2" t="s">
        <v>144</v>
      </c>
      <c r="D24" s="200" t="s">
        <v>144</v>
      </c>
      <c r="E24" s="16" t="s">
        <v>1045</v>
      </c>
      <c r="F24" s="55"/>
      <c r="H24" s="64" t="s">
        <v>2182</v>
      </c>
    </row>
    <row r="25" spans="1:8" ht="25" x14ac:dyDescent="0.3">
      <c r="A25" s="16" t="s">
        <v>2735</v>
      </c>
      <c r="B25" s="200" t="s">
        <v>144</v>
      </c>
      <c r="C25" s="2" t="s">
        <v>144</v>
      </c>
      <c r="D25" s="200" t="s">
        <v>144</v>
      </c>
      <c r="E25" s="11"/>
      <c r="F25" s="55"/>
      <c r="H25" s="64" t="s">
        <v>2182</v>
      </c>
    </row>
    <row r="26" spans="1:8" ht="25" x14ac:dyDescent="0.3">
      <c r="A26" s="10" t="s">
        <v>563</v>
      </c>
      <c r="B26" s="200" t="s">
        <v>144</v>
      </c>
      <c r="C26" s="2" t="s">
        <v>144</v>
      </c>
      <c r="D26" s="200" t="s">
        <v>144</v>
      </c>
      <c r="E26" s="2" t="s">
        <v>1046</v>
      </c>
      <c r="F26" s="55"/>
      <c r="H26" s="64" t="s">
        <v>2182</v>
      </c>
    </row>
    <row r="27" spans="1:8" x14ac:dyDescent="0.3">
      <c r="A27" s="10" t="s">
        <v>564</v>
      </c>
      <c r="B27" s="200" t="s">
        <v>144</v>
      </c>
      <c r="C27" s="2" t="s">
        <v>144</v>
      </c>
      <c r="D27" s="200" t="s">
        <v>144</v>
      </c>
      <c r="E27" s="10"/>
      <c r="F27" s="55"/>
      <c r="H27" s="64" t="s">
        <v>2182</v>
      </c>
    </row>
    <row r="28" spans="1:8" ht="25" x14ac:dyDescent="0.3">
      <c r="A28" s="10" t="s">
        <v>565</v>
      </c>
      <c r="B28" s="200" t="s">
        <v>144</v>
      </c>
      <c r="C28" s="2" t="s">
        <v>144</v>
      </c>
      <c r="D28" s="200" t="s">
        <v>144</v>
      </c>
      <c r="E28" s="16" t="s">
        <v>1047</v>
      </c>
      <c r="F28" s="55"/>
      <c r="H28" s="64" t="s">
        <v>2182</v>
      </c>
    </row>
    <row r="29" spans="1:8" ht="25" x14ac:dyDescent="0.3">
      <c r="A29" s="16" t="s">
        <v>2507</v>
      </c>
      <c r="B29" s="200" t="s">
        <v>144</v>
      </c>
      <c r="C29" s="2" t="s">
        <v>144</v>
      </c>
      <c r="D29" s="200" t="s">
        <v>144</v>
      </c>
      <c r="E29" s="16" t="s">
        <v>1946</v>
      </c>
      <c r="F29" s="55"/>
      <c r="H29" s="64" t="s">
        <v>2182</v>
      </c>
    </row>
    <row r="30" spans="1:8" ht="13.5" customHeight="1" x14ac:dyDescent="0.3">
      <c r="A30" s="16" t="s">
        <v>1048</v>
      </c>
      <c r="B30" s="200" t="s">
        <v>144</v>
      </c>
      <c r="C30" s="2" t="s">
        <v>144</v>
      </c>
      <c r="D30" s="200" t="s">
        <v>144</v>
      </c>
      <c r="E30" s="11"/>
      <c r="F30" s="55"/>
      <c r="H30" s="64" t="s">
        <v>2182</v>
      </c>
    </row>
    <row r="31" spans="1:8" x14ac:dyDescent="0.3">
      <c r="A31" s="10" t="s">
        <v>566</v>
      </c>
      <c r="B31" s="200" t="s">
        <v>144</v>
      </c>
      <c r="C31" s="2" t="s">
        <v>144</v>
      </c>
      <c r="D31" s="200" t="s">
        <v>144</v>
      </c>
      <c r="E31" s="11"/>
      <c r="F31" s="55"/>
      <c r="H31" s="64" t="s">
        <v>2182</v>
      </c>
    </row>
    <row r="32" spans="1:8" x14ac:dyDescent="0.3">
      <c r="A32" s="88" t="s">
        <v>1049</v>
      </c>
      <c r="B32" s="200" t="s">
        <v>144</v>
      </c>
      <c r="C32" s="2" t="s">
        <v>144</v>
      </c>
      <c r="D32" s="200" t="s">
        <v>144</v>
      </c>
      <c r="E32" s="11"/>
      <c r="F32" s="55"/>
      <c r="H32" s="64" t="s">
        <v>2182</v>
      </c>
    </row>
    <row r="33" spans="1:8" x14ac:dyDescent="0.3">
      <c r="A33" s="79" t="s">
        <v>1361</v>
      </c>
      <c r="B33" s="200" t="s">
        <v>144</v>
      </c>
      <c r="C33" s="2" t="s">
        <v>144</v>
      </c>
      <c r="D33" s="200" t="s">
        <v>144</v>
      </c>
      <c r="E33" s="11"/>
      <c r="F33" s="55"/>
      <c r="H33" s="64" t="s">
        <v>2182</v>
      </c>
    </row>
    <row r="34" spans="1:8" x14ac:dyDescent="0.3">
      <c r="A34" s="79" t="s">
        <v>1362</v>
      </c>
      <c r="B34" s="200" t="s">
        <v>144</v>
      </c>
      <c r="C34" s="2" t="s">
        <v>144</v>
      </c>
      <c r="D34" s="200" t="s">
        <v>144</v>
      </c>
      <c r="E34" s="11"/>
      <c r="F34" s="55"/>
      <c r="H34" s="64" t="s">
        <v>2182</v>
      </c>
    </row>
    <row r="35" spans="1:8" x14ac:dyDescent="0.3">
      <c r="A35" s="79" t="s">
        <v>2156</v>
      </c>
      <c r="B35" s="200" t="s">
        <v>144</v>
      </c>
      <c r="C35" s="2" t="s">
        <v>144</v>
      </c>
      <c r="D35" s="200" t="s">
        <v>144</v>
      </c>
      <c r="E35" s="11"/>
      <c r="F35" s="55"/>
      <c r="H35" s="64" t="s">
        <v>2182</v>
      </c>
    </row>
    <row r="36" spans="1:8" x14ac:dyDescent="0.3">
      <c r="A36" s="79" t="s">
        <v>1363</v>
      </c>
      <c r="B36" s="200" t="s">
        <v>144</v>
      </c>
      <c r="C36" s="2" t="s">
        <v>144</v>
      </c>
      <c r="D36" s="200" t="s">
        <v>144</v>
      </c>
      <c r="E36" s="11"/>
      <c r="F36" s="55"/>
      <c r="H36" s="64" t="s">
        <v>2182</v>
      </c>
    </row>
    <row r="37" spans="1:8" x14ac:dyDescent="0.3">
      <c r="A37" s="15" t="s">
        <v>2</v>
      </c>
      <c r="B37" s="200" t="s">
        <v>144</v>
      </c>
      <c r="C37" s="2" t="s">
        <v>144</v>
      </c>
      <c r="D37" s="200" t="s">
        <v>144</v>
      </c>
      <c r="E37" s="11"/>
      <c r="F37" s="55"/>
      <c r="H37" s="64" t="s">
        <v>2182</v>
      </c>
    </row>
    <row r="38" spans="1:8" x14ac:dyDescent="0.3">
      <c r="A38" s="10" t="s">
        <v>318</v>
      </c>
      <c r="B38" s="200" t="s">
        <v>144</v>
      </c>
      <c r="C38" s="2" t="s">
        <v>144</v>
      </c>
      <c r="D38" s="200" t="s">
        <v>144</v>
      </c>
      <c r="E38" s="11"/>
      <c r="F38" s="55"/>
      <c r="H38" s="64" t="s">
        <v>2182</v>
      </c>
    </row>
    <row r="39" spans="1:8" x14ac:dyDescent="0.3">
      <c r="A39" s="79" t="s">
        <v>1364</v>
      </c>
      <c r="B39" s="200" t="s">
        <v>144</v>
      </c>
      <c r="C39" s="2" t="s">
        <v>144</v>
      </c>
      <c r="D39" s="200" t="s">
        <v>144</v>
      </c>
      <c r="E39" s="11"/>
      <c r="F39" s="55"/>
      <c r="H39" s="64" t="s">
        <v>2182</v>
      </c>
    </row>
    <row r="40" spans="1:8" x14ac:dyDescent="0.3">
      <c r="A40" s="79" t="s">
        <v>1365</v>
      </c>
      <c r="B40" s="200" t="s">
        <v>144</v>
      </c>
      <c r="C40" s="2" t="s">
        <v>144</v>
      </c>
      <c r="D40" s="200" t="s">
        <v>144</v>
      </c>
      <c r="E40" s="11"/>
      <c r="F40" s="55"/>
      <c r="H40" s="64" t="s">
        <v>2182</v>
      </c>
    </row>
    <row r="41" spans="1:8" x14ac:dyDescent="0.3">
      <c r="A41" s="79" t="s">
        <v>1366</v>
      </c>
      <c r="B41" s="200" t="s">
        <v>144</v>
      </c>
      <c r="C41" s="2" t="s">
        <v>144</v>
      </c>
      <c r="D41" s="200" t="s">
        <v>144</v>
      </c>
      <c r="E41" s="11"/>
      <c r="F41" s="55"/>
      <c r="H41" s="64" t="s">
        <v>2182</v>
      </c>
    </row>
    <row r="42" spans="1:8" x14ac:dyDescent="0.3">
      <c r="A42" s="79" t="s">
        <v>1367</v>
      </c>
      <c r="B42" s="200" t="s">
        <v>144</v>
      </c>
      <c r="C42" s="2" t="s">
        <v>144</v>
      </c>
      <c r="D42" s="200" t="s">
        <v>144</v>
      </c>
      <c r="E42" s="11"/>
      <c r="F42" s="55"/>
      <c r="H42" s="64" t="s">
        <v>2182</v>
      </c>
    </row>
    <row r="43" spans="1:8" x14ac:dyDescent="0.3">
      <c r="A43" s="79" t="s">
        <v>1368</v>
      </c>
      <c r="B43" s="200" t="s">
        <v>144</v>
      </c>
      <c r="C43" s="2" t="s">
        <v>144</v>
      </c>
      <c r="D43" s="200" t="s">
        <v>144</v>
      </c>
      <c r="E43" s="11"/>
      <c r="F43" s="55"/>
      <c r="H43" s="64" t="s">
        <v>2182</v>
      </c>
    </row>
    <row r="44" spans="1:8" x14ac:dyDescent="0.3">
      <c r="A44" s="15" t="s">
        <v>3</v>
      </c>
      <c r="B44" s="200" t="s">
        <v>144</v>
      </c>
      <c r="C44" s="2" t="s">
        <v>144</v>
      </c>
      <c r="D44" s="200" t="s">
        <v>144</v>
      </c>
      <c r="E44" s="11"/>
      <c r="F44" s="55"/>
      <c r="H44" s="64" t="s">
        <v>2182</v>
      </c>
    </row>
    <row r="45" spans="1:8" ht="25" x14ac:dyDescent="0.3">
      <c r="A45" s="16" t="s">
        <v>2614</v>
      </c>
      <c r="B45" s="200" t="s">
        <v>144</v>
      </c>
      <c r="C45" s="2" t="s">
        <v>144</v>
      </c>
      <c r="D45" s="200" t="s">
        <v>144</v>
      </c>
      <c r="E45" s="16"/>
      <c r="F45" s="55"/>
      <c r="H45" s="64" t="s">
        <v>2182</v>
      </c>
    </row>
    <row r="46" spans="1:8" ht="50" x14ac:dyDescent="0.3">
      <c r="A46" s="10" t="s">
        <v>1947</v>
      </c>
      <c r="B46" s="200" t="s">
        <v>144</v>
      </c>
      <c r="C46" s="2" t="s">
        <v>144</v>
      </c>
      <c r="D46" s="200" t="s">
        <v>144</v>
      </c>
      <c r="E46" s="16" t="s">
        <v>1052</v>
      </c>
      <c r="F46" s="55"/>
      <c r="H46" s="64" t="s">
        <v>2182</v>
      </c>
    </row>
    <row r="47" spans="1:8" ht="25" x14ac:dyDescent="0.3">
      <c r="A47" s="10" t="s">
        <v>1948</v>
      </c>
      <c r="B47" s="200" t="s">
        <v>144</v>
      </c>
      <c r="C47" s="2" t="s">
        <v>144</v>
      </c>
      <c r="D47" s="200" t="s">
        <v>144</v>
      </c>
      <c r="E47" s="16"/>
      <c r="F47" s="55"/>
      <c r="H47" s="64" t="s">
        <v>2182</v>
      </c>
    </row>
    <row r="48" spans="1:8" ht="55.5" customHeight="1" x14ac:dyDescent="0.3">
      <c r="A48" s="16" t="s">
        <v>2736</v>
      </c>
      <c r="B48" s="200" t="s">
        <v>144</v>
      </c>
      <c r="C48" s="2" t="s">
        <v>144</v>
      </c>
      <c r="D48" s="200" t="s">
        <v>144</v>
      </c>
      <c r="F48" s="55"/>
      <c r="H48" s="64" t="s">
        <v>2182</v>
      </c>
    </row>
    <row r="49" spans="1:8" ht="25" x14ac:dyDescent="0.3">
      <c r="A49" s="16" t="s">
        <v>2157</v>
      </c>
      <c r="B49" s="200" t="s">
        <v>144</v>
      </c>
      <c r="C49" s="2" t="s">
        <v>144</v>
      </c>
      <c r="D49" s="200" t="s">
        <v>144</v>
      </c>
      <c r="E49" s="55"/>
      <c r="F49" s="55"/>
      <c r="H49" s="64"/>
    </row>
    <row r="50" spans="1:8" ht="37.5" x14ac:dyDescent="0.3">
      <c r="A50" s="16" t="s">
        <v>2158</v>
      </c>
      <c r="B50" s="200" t="s">
        <v>144</v>
      </c>
      <c r="C50" s="2" t="s">
        <v>144</v>
      </c>
      <c r="D50" s="200" t="s">
        <v>144</v>
      </c>
      <c r="E50" s="16" t="s">
        <v>2948</v>
      </c>
      <c r="F50" s="55"/>
      <c r="G50" s="60" t="s">
        <v>2329</v>
      </c>
      <c r="H50" s="64" t="s">
        <v>2182</v>
      </c>
    </row>
    <row r="51" spans="1:8" ht="30.65" customHeight="1" x14ac:dyDescent="0.3">
      <c r="A51" s="16" t="s">
        <v>1949</v>
      </c>
      <c r="B51" s="200" t="s">
        <v>144</v>
      </c>
      <c r="C51" s="2" t="s">
        <v>144</v>
      </c>
      <c r="D51" s="200" t="s">
        <v>144</v>
      </c>
      <c r="E51" s="11" t="s">
        <v>1050</v>
      </c>
      <c r="F51" s="55"/>
      <c r="G51" s="60" t="s">
        <v>2949</v>
      </c>
      <c r="H51" s="64" t="s">
        <v>2182</v>
      </c>
    </row>
    <row r="52" spans="1:8" ht="37.5" x14ac:dyDescent="0.3">
      <c r="A52" s="16" t="s">
        <v>2508</v>
      </c>
      <c r="B52" s="200" t="s">
        <v>144</v>
      </c>
      <c r="C52" s="2" t="s">
        <v>144</v>
      </c>
      <c r="D52" s="200" t="s">
        <v>144</v>
      </c>
      <c r="E52" s="2" t="s">
        <v>1051</v>
      </c>
      <c r="F52" s="55"/>
      <c r="H52" s="64" t="s">
        <v>2182</v>
      </c>
    </row>
    <row r="53" spans="1:8" ht="62.5" x14ac:dyDescent="0.3">
      <c r="A53" s="16" t="s">
        <v>2509</v>
      </c>
      <c r="B53" s="200" t="s">
        <v>144</v>
      </c>
      <c r="C53" s="2" t="s">
        <v>144</v>
      </c>
      <c r="D53" s="200" t="s">
        <v>144</v>
      </c>
      <c r="E53" s="11"/>
      <c r="F53" s="55"/>
      <c r="H53" s="64" t="s">
        <v>2182</v>
      </c>
    </row>
    <row r="54" spans="1:8" ht="37.5" x14ac:dyDescent="0.3">
      <c r="A54" s="16" t="s">
        <v>2194</v>
      </c>
      <c r="B54" s="200" t="s">
        <v>144</v>
      </c>
      <c r="C54" s="2" t="s">
        <v>144</v>
      </c>
      <c r="D54" s="200" t="s">
        <v>144</v>
      </c>
      <c r="E54" s="16" t="s">
        <v>1359</v>
      </c>
      <c r="F54" s="55"/>
      <c r="G54" s="95"/>
      <c r="H54" s="64" t="s">
        <v>2182</v>
      </c>
    </row>
    <row r="55" spans="1:8" x14ac:dyDescent="0.3">
      <c r="A55" s="10" t="s">
        <v>481</v>
      </c>
      <c r="B55" s="200" t="s">
        <v>144</v>
      </c>
      <c r="C55" s="2" t="s">
        <v>144</v>
      </c>
      <c r="D55" s="200" t="s">
        <v>144</v>
      </c>
      <c r="E55" s="11"/>
      <c r="F55" s="55"/>
      <c r="H55" s="64" t="s">
        <v>2182</v>
      </c>
    </row>
    <row r="56" spans="1:8" ht="37.5" x14ac:dyDescent="0.3">
      <c r="A56" s="16" t="s">
        <v>1695</v>
      </c>
      <c r="B56" s="200" t="s">
        <v>144</v>
      </c>
      <c r="C56" s="2" t="s">
        <v>144</v>
      </c>
      <c r="D56" s="200" t="s">
        <v>144</v>
      </c>
      <c r="E56" s="16" t="s">
        <v>1639</v>
      </c>
      <c r="F56" s="55"/>
      <c r="G56" s="95"/>
      <c r="H56" s="64" t="s">
        <v>2182</v>
      </c>
    </row>
    <row r="57" spans="1:8" x14ac:dyDescent="0.3">
      <c r="A57" s="89" t="s">
        <v>1053</v>
      </c>
      <c r="B57" s="200" t="s">
        <v>144</v>
      </c>
      <c r="C57" s="2" t="s">
        <v>144</v>
      </c>
      <c r="D57" s="200" t="s">
        <v>144</v>
      </c>
      <c r="E57" s="2"/>
      <c r="F57" s="55"/>
      <c r="H57" s="64" t="s">
        <v>2182</v>
      </c>
    </row>
    <row r="58" spans="1:8" ht="37.5" x14ac:dyDescent="0.3">
      <c r="A58" s="16" t="s">
        <v>2510</v>
      </c>
      <c r="B58" s="200" t="s">
        <v>144</v>
      </c>
      <c r="C58" s="2" t="s">
        <v>144</v>
      </c>
      <c r="D58" s="200" t="s">
        <v>144</v>
      </c>
      <c r="E58" s="16" t="s">
        <v>1054</v>
      </c>
      <c r="F58" s="55"/>
      <c r="H58" s="64" t="s">
        <v>2182</v>
      </c>
    </row>
    <row r="59" spans="1:8" x14ac:dyDescent="0.3">
      <c r="A59" s="10" t="s">
        <v>599</v>
      </c>
      <c r="B59" s="200" t="s">
        <v>145</v>
      </c>
      <c r="C59" s="2" t="s">
        <v>145</v>
      </c>
      <c r="D59" s="200" t="s">
        <v>145</v>
      </c>
      <c r="E59" s="11"/>
      <c r="F59" s="55"/>
      <c r="H59" s="64" t="s">
        <v>2182</v>
      </c>
    </row>
    <row r="60" spans="1:8" ht="37.5" x14ac:dyDescent="0.3">
      <c r="A60" s="16" t="s">
        <v>1950</v>
      </c>
      <c r="B60" s="200" t="s">
        <v>145</v>
      </c>
      <c r="C60" s="2" t="s">
        <v>145</v>
      </c>
      <c r="D60" s="200" t="s">
        <v>145</v>
      </c>
      <c r="E60" s="11"/>
      <c r="F60" s="55"/>
      <c r="H60" s="64" t="s">
        <v>2182</v>
      </c>
    </row>
    <row r="61" spans="1:8" ht="50" x14ac:dyDescent="0.3">
      <c r="A61" s="16" t="s">
        <v>1951</v>
      </c>
      <c r="B61" s="200" t="s">
        <v>145</v>
      </c>
      <c r="C61" s="2" t="s">
        <v>145</v>
      </c>
      <c r="D61" s="200" t="s">
        <v>145</v>
      </c>
      <c r="E61" s="11"/>
      <c r="F61" s="55"/>
      <c r="H61" s="64" t="s">
        <v>2182</v>
      </c>
    </row>
    <row r="62" spans="1:8" ht="50" x14ac:dyDescent="0.3">
      <c r="A62" s="16" t="s">
        <v>1055</v>
      </c>
      <c r="B62" s="200" t="s">
        <v>145</v>
      </c>
      <c r="C62" s="2" t="s">
        <v>145</v>
      </c>
      <c r="D62" s="200" t="s">
        <v>145</v>
      </c>
      <c r="E62" s="11"/>
      <c r="F62" s="55"/>
      <c r="H62" s="64" t="s">
        <v>2182</v>
      </c>
    </row>
    <row r="63" spans="1:8" ht="37.5" x14ac:dyDescent="0.3">
      <c r="A63" s="16" t="s">
        <v>2359</v>
      </c>
      <c r="B63" s="200" t="s">
        <v>145</v>
      </c>
      <c r="C63" s="2" t="s">
        <v>145</v>
      </c>
      <c r="D63" s="200" t="s">
        <v>145</v>
      </c>
      <c r="E63" s="11"/>
      <c r="F63" s="55"/>
      <c r="H63" s="64" t="s">
        <v>2182</v>
      </c>
    </row>
    <row r="64" spans="1:8" x14ac:dyDescent="0.3">
      <c r="A64" s="88" t="s">
        <v>1056</v>
      </c>
      <c r="B64" s="200" t="s">
        <v>145</v>
      </c>
      <c r="C64" s="2" t="s">
        <v>145</v>
      </c>
      <c r="D64" s="200" t="s">
        <v>145</v>
      </c>
      <c r="E64" s="11"/>
      <c r="F64" s="55"/>
      <c r="H64" s="64" t="s">
        <v>2182</v>
      </c>
    </row>
    <row r="65" spans="1:8" ht="25.5" x14ac:dyDescent="0.3">
      <c r="A65" s="176" t="s">
        <v>2950</v>
      </c>
      <c r="B65" s="200" t="s">
        <v>145</v>
      </c>
      <c r="C65" s="2" t="s">
        <v>145</v>
      </c>
      <c r="D65" s="200" t="s">
        <v>145</v>
      </c>
      <c r="E65" s="11"/>
      <c r="F65" s="55"/>
      <c r="G65" s="60" t="s">
        <v>1856</v>
      </c>
      <c r="H65" s="64" t="s">
        <v>2182</v>
      </c>
    </row>
    <row r="66" spans="1:8" ht="52.5" customHeight="1" x14ac:dyDescent="0.3">
      <c r="A66" s="16" t="s">
        <v>1952</v>
      </c>
      <c r="B66" s="200" t="s">
        <v>145</v>
      </c>
      <c r="C66" s="2" t="s">
        <v>145</v>
      </c>
      <c r="D66" s="200" t="s">
        <v>145</v>
      </c>
      <c r="E66" s="11"/>
      <c r="F66" s="55"/>
      <c r="H66" s="64" t="s">
        <v>2182</v>
      </c>
    </row>
    <row r="67" spans="1:8" x14ac:dyDescent="0.3">
      <c r="A67" s="16" t="s">
        <v>1953</v>
      </c>
      <c r="B67" s="200" t="s">
        <v>145</v>
      </c>
      <c r="C67" s="2" t="s">
        <v>145</v>
      </c>
      <c r="D67" s="200" t="s">
        <v>145</v>
      </c>
      <c r="E67" s="11"/>
      <c r="F67" s="55"/>
      <c r="H67" s="64" t="s">
        <v>2182</v>
      </c>
    </row>
    <row r="68" spans="1:8" x14ac:dyDescent="0.3">
      <c r="A68" s="35" t="s">
        <v>502</v>
      </c>
      <c r="B68" s="200"/>
      <c r="C68" s="2"/>
      <c r="D68" s="200" t="s">
        <v>144</v>
      </c>
      <c r="E68" s="11"/>
      <c r="F68" s="55"/>
      <c r="H68" s="64" t="s">
        <v>2182</v>
      </c>
    </row>
    <row r="69" spans="1:8" ht="37.5" x14ac:dyDescent="0.3">
      <c r="A69" s="16" t="s">
        <v>2511</v>
      </c>
      <c r="B69" s="200"/>
      <c r="C69" s="2"/>
      <c r="D69" s="200" t="s">
        <v>144</v>
      </c>
      <c r="E69" s="11"/>
      <c r="F69" s="55"/>
      <c r="H69" s="64" t="s">
        <v>2182</v>
      </c>
    </row>
    <row r="70" spans="1:8" ht="25" x14ac:dyDescent="0.3">
      <c r="A70" s="10" t="s">
        <v>503</v>
      </c>
      <c r="B70" s="200"/>
      <c r="C70" s="2"/>
      <c r="D70" s="200" t="s">
        <v>144</v>
      </c>
      <c r="E70" s="2" t="s">
        <v>454</v>
      </c>
      <c r="F70" s="55"/>
      <c r="H70" s="64" t="s">
        <v>2182</v>
      </c>
    </row>
    <row r="71" spans="1:8" x14ac:dyDescent="0.3">
      <c r="A71" s="16" t="s">
        <v>1704</v>
      </c>
      <c r="B71" s="200"/>
      <c r="C71" s="2"/>
      <c r="D71" s="200" t="s">
        <v>144</v>
      </c>
      <c r="E71" s="11"/>
      <c r="F71" s="55"/>
      <c r="H71" s="64" t="s">
        <v>2182</v>
      </c>
    </row>
    <row r="72" spans="1:8" x14ac:dyDescent="0.3">
      <c r="A72" s="16" t="s">
        <v>1705</v>
      </c>
      <c r="B72" s="200"/>
      <c r="C72" s="2"/>
      <c r="D72" s="200" t="s">
        <v>144</v>
      </c>
      <c r="E72" s="11"/>
      <c r="F72" s="55"/>
      <c r="H72" s="64" t="s">
        <v>2182</v>
      </c>
    </row>
    <row r="73" spans="1:8" x14ac:dyDescent="0.3">
      <c r="A73" s="10" t="s">
        <v>4</v>
      </c>
      <c r="B73" s="200"/>
      <c r="C73" s="2"/>
      <c r="D73" s="200" t="s">
        <v>144</v>
      </c>
      <c r="F73" s="55"/>
      <c r="H73" s="64" t="s">
        <v>2182</v>
      </c>
    </row>
    <row r="74" spans="1:8" ht="50" x14ac:dyDescent="0.3">
      <c r="A74" s="10" t="s">
        <v>504</v>
      </c>
      <c r="B74" s="200"/>
      <c r="C74" s="2"/>
      <c r="D74" s="200" t="s">
        <v>144</v>
      </c>
      <c r="E74" s="11"/>
      <c r="F74" s="55"/>
      <c r="H74" s="64" t="s">
        <v>2182</v>
      </c>
    </row>
    <row r="75" spans="1:8" ht="39.75" customHeight="1" x14ac:dyDescent="0.3">
      <c r="A75" s="16" t="s">
        <v>1773</v>
      </c>
      <c r="B75" s="200"/>
      <c r="C75" s="2"/>
      <c r="D75" s="200" t="s">
        <v>144</v>
      </c>
      <c r="E75" s="11"/>
      <c r="F75" s="55"/>
      <c r="H75" s="64" t="s">
        <v>2182</v>
      </c>
    </row>
    <row r="76" spans="1:8" ht="25" x14ac:dyDescent="0.3">
      <c r="A76" s="10" t="s">
        <v>744</v>
      </c>
      <c r="B76" s="200"/>
      <c r="C76" s="2"/>
      <c r="D76" s="200" t="s">
        <v>144</v>
      </c>
      <c r="E76" s="11"/>
      <c r="F76" s="55"/>
      <c r="H76" s="64" t="s">
        <v>2182</v>
      </c>
    </row>
    <row r="77" spans="1:8" x14ac:dyDescent="0.3">
      <c r="A77" s="10" t="s">
        <v>745</v>
      </c>
      <c r="B77" s="200"/>
      <c r="C77" s="2"/>
      <c r="D77" s="200" t="s">
        <v>144</v>
      </c>
      <c r="E77" s="16" t="s">
        <v>1372</v>
      </c>
      <c r="F77" s="55"/>
      <c r="H77" s="64" t="s">
        <v>2182</v>
      </c>
    </row>
    <row r="78" spans="1:8" ht="25" x14ac:dyDescent="0.3">
      <c r="A78" s="10" t="s">
        <v>746</v>
      </c>
      <c r="B78" s="200"/>
      <c r="C78" s="2"/>
      <c r="D78" s="200" t="s">
        <v>144</v>
      </c>
      <c r="E78" s="16" t="s">
        <v>1640</v>
      </c>
      <c r="F78" s="55"/>
      <c r="H78" s="64" t="s">
        <v>2182</v>
      </c>
    </row>
    <row r="79" spans="1:8" ht="25" x14ac:dyDescent="0.3">
      <c r="A79" s="10" t="s">
        <v>747</v>
      </c>
      <c r="B79" s="200"/>
      <c r="C79" s="2"/>
      <c r="D79" s="200" t="s">
        <v>144</v>
      </c>
      <c r="E79" s="16" t="s">
        <v>1369</v>
      </c>
      <c r="F79" s="55"/>
      <c r="H79" s="64" t="s">
        <v>2182</v>
      </c>
    </row>
    <row r="80" spans="1:8" ht="15" customHeight="1" x14ac:dyDescent="0.3">
      <c r="A80" s="10" t="s">
        <v>748</v>
      </c>
      <c r="B80" s="200"/>
      <c r="C80" s="2"/>
      <c r="D80" s="200" t="s">
        <v>144</v>
      </c>
      <c r="E80" s="16" t="s">
        <v>1370</v>
      </c>
      <c r="F80" s="55"/>
      <c r="H80" s="64" t="s">
        <v>2182</v>
      </c>
    </row>
    <row r="81" spans="1:8" ht="50" x14ac:dyDescent="0.3">
      <c r="A81" s="10" t="s">
        <v>749</v>
      </c>
      <c r="B81" s="200"/>
      <c r="C81" s="2"/>
      <c r="D81" s="200" t="s">
        <v>144</v>
      </c>
      <c r="E81" s="16" t="s">
        <v>2299</v>
      </c>
      <c r="F81" s="55"/>
      <c r="H81" s="64" t="s">
        <v>2182</v>
      </c>
    </row>
    <row r="82" spans="1:8" ht="25" x14ac:dyDescent="0.3">
      <c r="A82" s="16" t="s">
        <v>1057</v>
      </c>
      <c r="B82" s="200"/>
      <c r="C82" s="2"/>
      <c r="D82" s="200" t="s">
        <v>144</v>
      </c>
      <c r="E82" s="16" t="s">
        <v>1371</v>
      </c>
      <c r="F82" s="55"/>
      <c r="H82" s="64" t="s">
        <v>2182</v>
      </c>
    </row>
    <row r="83" spans="1:8" ht="62.5" x14ac:dyDescent="0.3">
      <c r="A83" s="16" t="s">
        <v>1696</v>
      </c>
      <c r="B83" s="200"/>
      <c r="C83" s="2"/>
      <c r="D83" s="200" t="s">
        <v>144</v>
      </c>
      <c r="E83" s="16" t="s">
        <v>1641</v>
      </c>
      <c r="F83" s="55"/>
      <c r="G83" s="95"/>
      <c r="H83" s="64" t="s">
        <v>2182</v>
      </c>
    </row>
    <row r="84" spans="1:8" ht="75" x14ac:dyDescent="0.3">
      <c r="A84" s="16" t="s">
        <v>2512</v>
      </c>
      <c r="B84" s="200"/>
      <c r="C84" s="2"/>
      <c r="D84" s="200" t="s">
        <v>144</v>
      </c>
      <c r="E84" s="16" t="s">
        <v>2513</v>
      </c>
      <c r="F84" s="55"/>
      <c r="G84" s="95"/>
      <c r="H84" s="64" t="s">
        <v>2182</v>
      </c>
    </row>
    <row r="85" spans="1:8" ht="50" x14ac:dyDescent="0.3">
      <c r="A85" s="16" t="s">
        <v>2514</v>
      </c>
      <c r="B85" s="200"/>
      <c r="C85" s="2"/>
      <c r="D85" s="200" t="s">
        <v>144</v>
      </c>
      <c r="E85" s="16" t="s">
        <v>1642</v>
      </c>
      <c r="F85" s="55"/>
      <c r="G85" s="95"/>
      <c r="H85" s="64" t="s">
        <v>2182</v>
      </c>
    </row>
    <row r="86" spans="1:8" x14ac:dyDescent="0.3">
      <c r="A86" s="35" t="s">
        <v>455</v>
      </c>
      <c r="B86" s="200" t="s">
        <v>144</v>
      </c>
      <c r="C86" s="2" t="s">
        <v>144</v>
      </c>
      <c r="D86" s="200" t="s">
        <v>144</v>
      </c>
      <c r="E86" s="11"/>
      <c r="F86" s="55"/>
      <c r="H86" s="64" t="s">
        <v>2182</v>
      </c>
    </row>
    <row r="87" spans="1:8" ht="27.75" customHeight="1" x14ac:dyDescent="0.3">
      <c r="A87" s="10" t="s">
        <v>834</v>
      </c>
      <c r="B87" s="200" t="s">
        <v>144</v>
      </c>
      <c r="C87" s="2" t="s">
        <v>144</v>
      </c>
      <c r="D87" s="200" t="s">
        <v>144</v>
      </c>
      <c r="E87" s="11"/>
      <c r="F87" s="55"/>
      <c r="H87" s="64" t="s">
        <v>2182</v>
      </c>
    </row>
    <row r="88" spans="1:8" ht="52.5" customHeight="1" x14ac:dyDescent="0.3">
      <c r="A88" s="10" t="s">
        <v>835</v>
      </c>
      <c r="B88" s="200" t="s">
        <v>144</v>
      </c>
      <c r="C88" s="2" t="s">
        <v>144</v>
      </c>
      <c r="D88" s="200" t="s">
        <v>144</v>
      </c>
      <c r="E88" s="16" t="s">
        <v>1058</v>
      </c>
      <c r="F88" s="55"/>
      <c r="H88" s="64" t="s">
        <v>2182</v>
      </c>
    </row>
    <row r="89" spans="1:8" ht="50" x14ac:dyDescent="0.3">
      <c r="A89" s="17" t="s">
        <v>2515</v>
      </c>
      <c r="B89" s="209" t="s">
        <v>144</v>
      </c>
      <c r="C89" s="4" t="s">
        <v>144</v>
      </c>
      <c r="D89" s="209" t="s">
        <v>144</v>
      </c>
      <c r="E89" s="17" t="s">
        <v>1059</v>
      </c>
      <c r="F89" s="55"/>
      <c r="H89" s="64" t="s">
        <v>2182</v>
      </c>
    </row>
  </sheetData>
  <sheetProtection algorithmName="SHA-512" hashValue="AEwuA3vvwVYipzliCSXQ2LVeflQhGhwiPQQdG4hr+Hb8QweNevVtU5RHWpc5AanK3Pe93CpUAcjtqMwN9aS12g==" saltValue="cd1WsWjaQbCrrwUtlOfJnA==" spinCount="100000" sheet="1" objects="1" scenarios="1" autoFilter="0"/>
  <autoFilter ref="B5:G89" xr:uid="{00000000-0009-0000-0000-00001D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2" fitToHeight="100" orientation="landscape" r:id="rId1"/>
      <headerFooter alignWithMargins="0"/>
      <autoFilter ref="B1:G1" xr:uid="{CC31353A-EFBE-44B1-B9B4-F0A8ECDE5F66}"/>
    </customSheetView>
  </customSheetViews>
  <mergeCells count="1">
    <mergeCell ref="B4:F4"/>
  </mergeCells>
  <phoneticPr fontId="2" type="noConversion"/>
  <dataValidations count="1">
    <dataValidation type="list" allowBlank="1" showInputMessage="1" showErrorMessage="1" sqref="F6:F89" xr:uid="{00000000-0002-0000-1D00-000000000000}">
      <formula1>"Akkoord,Opmerking,N.v.t.,,"</formula1>
    </dataValidation>
  </dataValidations>
  <hyperlinks>
    <hyperlink ref="A5" location="'Organisaties zonder winstoogmer'!A2" display="Organisaties zonder winstoogmerk" xr:uid="{00000000-0004-0000-1D00-000000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1752" r:id="rId5" name="Button 8">
              <controlPr defaultSize="0" print="0" autoFill="0" autoPict="0" macro="[0]!Module1.Hoofdmenu">
                <anchor moveWithCells="1">
                  <from>
                    <xdr:col>0</xdr:col>
                    <xdr:colOff>0</xdr:colOff>
                    <xdr:row>3</xdr:row>
                    <xdr:rowOff>0</xdr:rowOff>
                  </from>
                  <to>
                    <xdr:col>0</xdr:col>
                    <xdr:colOff>1403350</xdr:colOff>
                    <xdr:row>3</xdr:row>
                    <xdr:rowOff>228600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Blad27">
    <tabColor rgb="FF951B81"/>
    <pageSetUpPr fitToPage="1"/>
  </sheetPr>
  <dimension ref="A1:J98"/>
  <sheetViews>
    <sheetView showGridLines="0" zoomScaleNormal="100" workbookViewId="0">
      <pane ySplit="5" topLeftCell="A70" activePane="bottomLeft" state="frozen"/>
      <selection activeCell="F6" sqref="F6"/>
      <selection pane="bottomLeft" activeCell="A82" sqref="A82"/>
    </sheetView>
  </sheetViews>
  <sheetFormatPr defaultColWidth="9.1796875" defaultRowHeight="13" x14ac:dyDescent="0.25"/>
  <cols>
    <col min="1" max="1" width="60.7265625" style="5" customWidth="1"/>
    <col min="2" max="2" width="10.7265625" style="1" customWidth="1"/>
    <col min="3" max="3" width="10.81640625" style="1" customWidth="1"/>
    <col min="4" max="4" width="8.453125" style="1" customWidth="1"/>
    <col min="5" max="5" width="12.1796875" style="6" customWidth="1"/>
    <col min="6" max="6" width="10.7265625" style="58" customWidth="1"/>
    <col min="7" max="7" width="63.269531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196" t="s">
        <v>1060</v>
      </c>
      <c r="B5" s="197" t="s">
        <v>642</v>
      </c>
      <c r="C5" s="197" t="s">
        <v>643</v>
      </c>
      <c r="D5" s="197" t="s">
        <v>644</v>
      </c>
      <c r="E5" s="198" t="s">
        <v>645</v>
      </c>
      <c r="F5" s="197" t="s">
        <v>54</v>
      </c>
      <c r="G5" s="199" t="s">
        <v>2858</v>
      </c>
    </row>
    <row r="6" spans="1:10" s="46" customFormat="1" x14ac:dyDescent="0.3">
      <c r="A6" s="40" t="s">
        <v>546</v>
      </c>
      <c r="B6" s="208" t="s">
        <v>144</v>
      </c>
      <c r="C6" s="32" t="s">
        <v>144</v>
      </c>
      <c r="D6" s="208" t="s">
        <v>144</v>
      </c>
      <c r="E6" s="41"/>
      <c r="F6" s="55"/>
      <c r="G6" s="60"/>
      <c r="H6" s="64" t="s">
        <v>2182</v>
      </c>
      <c r="I6" s="60"/>
      <c r="J6" s="60"/>
    </row>
    <row r="7" spans="1:10" ht="25" x14ac:dyDescent="0.3">
      <c r="A7" s="16" t="s">
        <v>600</v>
      </c>
      <c r="B7" s="200" t="s">
        <v>144</v>
      </c>
      <c r="C7" s="2" t="s">
        <v>144</v>
      </c>
      <c r="D7" s="200" t="s">
        <v>144</v>
      </c>
      <c r="E7" s="11"/>
      <c r="F7" s="55"/>
      <c r="H7" s="64" t="s">
        <v>2182</v>
      </c>
    </row>
    <row r="8" spans="1:10" ht="50" x14ac:dyDescent="0.3">
      <c r="A8" s="10" t="s">
        <v>398</v>
      </c>
      <c r="B8" s="200" t="s">
        <v>144</v>
      </c>
      <c r="C8" s="2" t="s">
        <v>144</v>
      </c>
      <c r="D8" s="200" t="s">
        <v>144</v>
      </c>
      <c r="E8" s="10" t="s">
        <v>256</v>
      </c>
      <c r="F8" s="55"/>
      <c r="H8" s="64" t="s">
        <v>2182</v>
      </c>
    </row>
    <row r="9" spans="1:10" ht="25" x14ac:dyDescent="0.3">
      <c r="A9" s="10" t="s">
        <v>102</v>
      </c>
      <c r="B9" s="200" t="s">
        <v>144</v>
      </c>
      <c r="C9" s="2" t="s">
        <v>144</v>
      </c>
      <c r="D9" s="200" t="s">
        <v>144</v>
      </c>
      <c r="E9" s="11"/>
      <c r="F9" s="55"/>
      <c r="H9" s="64" t="s">
        <v>2182</v>
      </c>
    </row>
    <row r="10" spans="1:10" ht="37.5" x14ac:dyDescent="0.3">
      <c r="A10" s="16" t="s">
        <v>1061</v>
      </c>
      <c r="B10" s="200" t="s">
        <v>144</v>
      </c>
      <c r="C10" s="2" t="s">
        <v>144</v>
      </c>
      <c r="D10" s="200" t="s">
        <v>144</v>
      </c>
      <c r="E10" s="11" t="s">
        <v>103</v>
      </c>
      <c r="F10" s="55"/>
      <c r="H10" s="64" t="s">
        <v>2182</v>
      </c>
    </row>
    <row r="11" spans="1:10" ht="62.5" x14ac:dyDescent="0.3">
      <c r="A11" s="16" t="s">
        <v>1697</v>
      </c>
      <c r="B11" s="200" t="s">
        <v>144</v>
      </c>
      <c r="C11" s="2" t="s">
        <v>144</v>
      </c>
      <c r="D11" s="200" t="s">
        <v>144</v>
      </c>
      <c r="E11" s="16" t="s">
        <v>1373</v>
      </c>
      <c r="F11" s="55"/>
      <c r="H11" s="64" t="s">
        <v>2182</v>
      </c>
    </row>
    <row r="12" spans="1:10" ht="75" x14ac:dyDescent="0.3">
      <c r="A12" s="16" t="s">
        <v>1651</v>
      </c>
      <c r="B12" s="200" t="s">
        <v>144</v>
      </c>
      <c r="C12" s="2" t="s">
        <v>144</v>
      </c>
      <c r="D12" s="200" t="s">
        <v>144</v>
      </c>
      <c r="E12" s="11" t="s">
        <v>104</v>
      </c>
      <c r="F12" s="55"/>
      <c r="H12" s="64" t="s">
        <v>2182</v>
      </c>
    </row>
    <row r="13" spans="1:10" ht="50" x14ac:dyDescent="0.3">
      <c r="A13" s="10" t="s">
        <v>601</v>
      </c>
      <c r="B13" s="200" t="s">
        <v>144</v>
      </c>
      <c r="C13" s="2" t="s">
        <v>144</v>
      </c>
      <c r="D13" s="200" t="s">
        <v>144</v>
      </c>
      <c r="E13" s="11" t="s">
        <v>105</v>
      </c>
      <c r="F13" s="55"/>
      <c r="H13" s="64" t="s">
        <v>2182</v>
      </c>
    </row>
    <row r="14" spans="1:10" ht="64.5" customHeight="1" x14ac:dyDescent="0.3">
      <c r="A14" s="10" t="s">
        <v>1698</v>
      </c>
      <c r="B14" s="200" t="s">
        <v>144</v>
      </c>
      <c r="C14" s="2" t="s">
        <v>144</v>
      </c>
      <c r="D14" s="200" t="s">
        <v>144</v>
      </c>
      <c r="E14" s="2" t="s">
        <v>1154</v>
      </c>
      <c r="F14" s="55"/>
      <c r="H14" s="64" t="s">
        <v>2182</v>
      </c>
    </row>
    <row r="15" spans="1:10" ht="25" x14ac:dyDescent="0.3">
      <c r="A15" s="16" t="s">
        <v>2007</v>
      </c>
      <c r="B15" s="200" t="s">
        <v>144</v>
      </c>
      <c r="C15" s="2" t="s">
        <v>144</v>
      </c>
      <c r="D15" s="200" t="s">
        <v>144</v>
      </c>
      <c r="E15" s="11"/>
      <c r="F15" s="55"/>
      <c r="H15" s="64" t="s">
        <v>2182</v>
      </c>
    </row>
    <row r="16" spans="1:10" x14ac:dyDescent="0.3">
      <c r="A16" s="16" t="s">
        <v>302</v>
      </c>
      <c r="B16" s="200" t="s">
        <v>800</v>
      </c>
      <c r="C16" s="2" t="s">
        <v>800</v>
      </c>
      <c r="D16" s="200" t="s">
        <v>800</v>
      </c>
      <c r="E16" s="11"/>
      <c r="F16" s="55"/>
      <c r="H16" s="64"/>
    </row>
    <row r="17" spans="1:8" ht="62.5" x14ac:dyDescent="0.3">
      <c r="A17" s="16" t="s">
        <v>2516</v>
      </c>
      <c r="B17" s="200" t="s">
        <v>646</v>
      </c>
      <c r="C17" s="2" t="s">
        <v>843</v>
      </c>
      <c r="D17" s="200"/>
      <c r="E17" s="11" t="s">
        <v>347</v>
      </c>
      <c r="F17" s="55"/>
      <c r="H17" s="64"/>
    </row>
    <row r="18" spans="1:8" x14ac:dyDescent="0.3">
      <c r="A18" s="146" t="s">
        <v>2309</v>
      </c>
      <c r="B18" s="200" t="s">
        <v>800</v>
      </c>
      <c r="C18" s="2" t="s">
        <v>800</v>
      </c>
      <c r="D18" s="200" t="s">
        <v>800</v>
      </c>
      <c r="E18" s="11"/>
      <c r="F18" s="55"/>
      <c r="H18" s="64"/>
    </row>
    <row r="19" spans="1:8" x14ac:dyDescent="0.3">
      <c r="A19" s="149" t="s">
        <v>547</v>
      </c>
      <c r="B19" s="200" t="s">
        <v>800</v>
      </c>
      <c r="C19" s="2" t="s">
        <v>800</v>
      </c>
      <c r="D19" s="200" t="s">
        <v>800</v>
      </c>
      <c r="E19" s="11"/>
      <c r="F19" s="55"/>
      <c r="H19" s="64"/>
    </row>
    <row r="20" spans="1:8" ht="37.5" x14ac:dyDescent="0.3">
      <c r="A20" s="16" t="s">
        <v>602</v>
      </c>
      <c r="B20" s="200" t="s">
        <v>800</v>
      </c>
      <c r="C20" s="2" t="s">
        <v>800</v>
      </c>
      <c r="D20" s="200" t="s">
        <v>800</v>
      </c>
      <c r="E20" s="11" t="s">
        <v>351</v>
      </c>
      <c r="F20" s="55"/>
      <c r="H20" s="64"/>
    </row>
    <row r="21" spans="1:8" ht="25" x14ac:dyDescent="0.3">
      <c r="A21" s="79" t="s">
        <v>2256</v>
      </c>
      <c r="B21" s="200" t="s">
        <v>800</v>
      </c>
      <c r="C21" s="2" t="s">
        <v>800</v>
      </c>
      <c r="D21" s="200" t="s">
        <v>800</v>
      </c>
      <c r="E21" s="11"/>
      <c r="F21" s="55"/>
      <c r="H21" s="64"/>
    </row>
    <row r="22" spans="1:8" x14ac:dyDescent="0.3">
      <c r="A22" s="79" t="s">
        <v>2257</v>
      </c>
      <c r="B22" s="200" t="s">
        <v>800</v>
      </c>
      <c r="C22" s="2" t="s">
        <v>800</v>
      </c>
      <c r="D22" s="200" t="s">
        <v>800</v>
      </c>
      <c r="E22" s="11"/>
      <c r="F22" s="55"/>
      <c r="H22" s="64"/>
    </row>
    <row r="23" spans="1:8" x14ac:dyDescent="0.3">
      <c r="A23" s="79" t="s">
        <v>1379</v>
      </c>
      <c r="B23" s="200" t="s">
        <v>800</v>
      </c>
      <c r="C23" s="2" t="s">
        <v>800</v>
      </c>
      <c r="D23" s="200" t="s">
        <v>800</v>
      </c>
      <c r="E23" s="11"/>
      <c r="F23" s="55"/>
      <c r="H23" s="64"/>
    </row>
    <row r="24" spans="1:8" x14ac:dyDescent="0.3">
      <c r="A24" s="79" t="s">
        <v>1380</v>
      </c>
      <c r="B24" s="200" t="s">
        <v>800</v>
      </c>
      <c r="C24" s="2" t="s">
        <v>800</v>
      </c>
      <c r="D24" s="200" t="s">
        <v>800</v>
      </c>
      <c r="E24" s="11"/>
      <c r="F24" s="55"/>
      <c r="H24" s="64"/>
    </row>
    <row r="25" spans="1:8" x14ac:dyDescent="0.3">
      <c r="A25" s="79" t="s">
        <v>1381</v>
      </c>
      <c r="B25" s="200" t="s">
        <v>800</v>
      </c>
      <c r="C25" s="2" t="s">
        <v>800</v>
      </c>
      <c r="D25" s="200" t="s">
        <v>800</v>
      </c>
      <c r="E25" s="11"/>
      <c r="F25" s="55"/>
      <c r="H25" s="64"/>
    </row>
    <row r="26" spans="1:8" ht="25" x14ac:dyDescent="0.3">
      <c r="A26" s="79" t="s">
        <v>2258</v>
      </c>
      <c r="B26" s="200" t="s">
        <v>800</v>
      </c>
      <c r="C26" s="2" t="s">
        <v>800</v>
      </c>
      <c r="D26" s="200" t="s">
        <v>800</v>
      </c>
      <c r="E26" s="11"/>
      <c r="F26" s="55"/>
      <c r="H26" s="64"/>
    </row>
    <row r="27" spans="1:8" x14ac:dyDescent="0.3">
      <c r="A27" s="79" t="s">
        <v>2259</v>
      </c>
      <c r="B27" s="200" t="s">
        <v>800</v>
      </c>
      <c r="C27" s="2" t="s">
        <v>800</v>
      </c>
      <c r="D27" s="200" t="s">
        <v>800</v>
      </c>
      <c r="E27" s="11"/>
      <c r="F27" s="55"/>
      <c r="H27" s="64"/>
    </row>
    <row r="28" spans="1:8" ht="12.75" customHeight="1" x14ac:dyDescent="0.3">
      <c r="A28" s="79" t="s">
        <v>379</v>
      </c>
      <c r="B28" s="200" t="s">
        <v>800</v>
      </c>
      <c r="C28" s="2" t="s">
        <v>800</v>
      </c>
      <c r="D28" s="200" t="s">
        <v>800</v>
      </c>
      <c r="E28" s="11"/>
      <c r="F28" s="55"/>
      <c r="H28" s="64"/>
    </row>
    <row r="29" spans="1:8" ht="12.75" customHeight="1" x14ac:dyDescent="0.3">
      <c r="A29" s="79" t="s">
        <v>2260</v>
      </c>
      <c r="B29" s="200" t="s">
        <v>800</v>
      </c>
      <c r="C29" s="2" t="s">
        <v>800</v>
      </c>
      <c r="D29" s="200" t="s">
        <v>800</v>
      </c>
      <c r="E29" s="11" t="s">
        <v>352</v>
      </c>
      <c r="F29" s="55"/>
      <c r="H29" s="64"/>
    </row>
    <row r="30" spans="1:8" ht="53.25" customHeight="1" x14ac:dyDescent="0.3">
      <c r="A30" s="79" t="s">
        <v>2261</v>
      </c>
      <c r="B30" s="200" t="s">
        <v>800</v>
      </c>
      <c r="C30" s="2" t="s">
        <v>800</v>
      </c>
      <c r="D30" s="200" t="s">
        <v>800</v>
      </c>
      <c r="E30" s="2" t="s">
        <v>353</v>
      </c>
      <c r="F30" s="55"/>
      <c r="H30" s="64"/>
    </row>
    <row r="31" spans="1:8" ht="40.5" customHeight="1" x14ac:dyDescent="0.3">
      <c r="A31" s="79" t="s">
        <v>2517</v>
      </c>
      <c r="B31" s="200" t="s">
        <v>800</v>
      </c>
      <c r="C31" s="2" t="s">
        <v>800</v>
      </c>
      <c r="D31" s="200" t="s">
        <v>800</v>
      </c>
      <c r="E31" s="2" t="s">
        <v>354</v>
      </c>
      <c r="F31" s="55"/>
      <c r="H31" s="64"/>
    </row>
    <row r="32" spans="1:8" ht="12" customHeight="1" x14ac:dyDescent="0.3">
      <c r="A32" s="79" t="s">
        <v>2598</v>
      </c>
      <c r="B32" s="200" t="s">
        <v>800</v>
      </c>
      <c r="C32" s="2" t="s">
        <v>800</v>
      </c>
      <c r="D32" s="200" t="s">
        <v>800</v>
      </c>
      <c r="E32" s="2" t="s">
        <v>355</v>
      </c>
      <c r="F32" s="55"/>
      <c r="H32" s="64"/>
    </row>
    <row r="33" spans="1:10" ht="25" x14ac:dyDescent="0.3">
      <c r="A33" s="16" t="s">
        <v>2599</v>
      </c>
      <c r="B33" s="200" t="s">
        <v>800</v>
      </c>
      <c r="C33" s="2" t="s">
        <v>800</v>
      </c>
      <c r="D33" s="200" t="s">
        <v>800</v>
      </c>
      <c r="E33" s="2" t="s">
        <v>2161</v>
      </c>
      <c r="F33" s="55"/>
      <c r="H33" s="64"/>
    </row>
    <row r="34" spans="1:10" x14ac:dyDescent="0.3">
      <c r="A34" s="114" t="s">
        <v>2262</v>
      </c>
      <c r="B34" s="200" t="s">
        <v>145</v>
      </c>
      <c r="C34" s="2" t="s">
        <v>145</v>
      </c>
      <c r="D34" s="200" t="s">
        <v>145</v>
      </c>
      <c r="E34" s="11"/>
      <c r="F34" s="55"/>
      <c r="H34" s="64"/>
    </row>
    <row r="35" spans="1:10" ht="75" x14ac:dyDescent="0.3">
      <c r="A35" s="16" t="s">
        <v>2263</v>
      </c>
      <c r="B35" s="200" t="s">
        <v>145</v>
      </c>
      <c r="C35" s="2" t="s">
        <v>145</v>
      </c>
      <c r="D35" s="200" t="s">
        <v>145</v>
      </c>
      <c r="E35" s="11"/>
      <c r="F35" s="55"/>
      <c r="H35" s="64"/>
    </row>
    <row r="36" spans="1:10" ht="50" x14ac:dyDescent="0.3">
      <c r="A36" s="16" t="s">
        <v>2518</v>
      </c>
      <c r="B36" s="200" t="s">
        <v>145</v>
      </c>
      <c r="C36" s="2" t="s">
        <v>145</v>
      </c>
      <c r="D36" s="200" t="s">
        <v>145</v>
      </c>
      <c r="E36" s="11"/>
      <c r="F36" s="55"/>
      <c r="H36" s="64"/>
    </row>
    <row r="37" spans="1:10" s="46" customFormat="1" x14ac:dyDescent="0.3">
      <c r="A37" s="34" t="s">
        <v>283</v>
      </c>
      <c r="B37" s="200" t="s">
        <v>144</v>
      </c>
      <c r="C37" s="2" t="s">
        <v>144</v>
      </c>
      <c r="D37" s="200" t="s">
        <v>144</v>
      </c>
      <c r="E37" s="36"/>
      <c r="F37" s="55"/>
      <c r="G37" s="60"/>
      <c r="H37" s="64" t="s">
        <v>2182</v>
      </c>
      <c r="I37" s="60"/>
      <c r="J37" s="60"/>
    </row>
    <row r="38" spans="1:10" ht="27" customHeight="1" x14ac:dyDescent="0.3">
      <c r="A38" s="16" t="s">
        <v>1062</v>
      </c>
      <c r="B38" s="200" t="s">
        <v>144</v>
      </c>
      <c r="C38" s="2" t="s">
        <v>144</v>
      </c>
      <c r="D38" s="200" t="s">
        <v>144</v>
      </c>
      <c r="E38" s="16" t="s">
        <v>1774</v>
      </c>
      <c r="F38" s="55"/>
      <c r="H38" s="64" t="s">
        <v>2182</v>
      </c>
    </row>
    <row r="39" spans="1:10" ht="37.5" x14ac:dyDescent="0.3">
      <c r="A39" s="10" t="s">
        <v>148</v>
      </c>
      <c r="B39" s="200" t="s">
        <v>144</v>
      </c>
      <c r="C39" s="2" t="s">
        <v>144</v>
      </c>
      <c r="D39" s="200" t="s">
        <v>144</v>
      </c>
      <c r="E39" s="16" t="s">
        <v>388</v>
      </c>
      <c r="F39" s="55"/>
      <c r="H39" s="64" t="s">
        <v>2182</v>
      </c>
    </row>
    <row r="40" spans="1:10" ht="25.5" x14ac:dyDescent="0.3">
      <c r="A40" s="10" t="s">
        <v>284</v>
      </c>
      <c r="B40" s="200" t="s">
        <v>144</v>
      </c>
      <c r="C40" s="2" t="s">
        <v>144</v>
      </c>
      <c r="D40" s="200" t="s">
        <v>144</v>
      </c>
      <c r="E40" s="118" t="s">
        <v>1716</v>
      </c>
      <c r="F40" s="55"/>
      <c r="H40" s="64" t="s">
        <v>2182</v>
      </c>
    </row>
    <row r="41" spans="1:10" ht="37.5" x14ac:dyDescent="0.3">
      <c r="A41" s="16" t="s">
        <v>1954</v>
      </c>
      <c r="B41" s="200" t="s">
        <v>144</v>
      </c>
      <c r="C41" s="2" t="s">
        <v>144</v>
      </c>
      <c r="D41" s="200" t="s">
        <v>144</v>
      </c>
      <c r="E41" s="16" t="s">
        <v>1715</v>
      </c>
      <c r="F41" s="55"/>
      <c r="G41" s="95"/>
      <c r="H41" s="64" t="s">
        <v>2182</v>
      </c>
    </row>
    <row r="42" spans="1:10" x14ac:dyDescent="0.3">
      <c r="A42" s="114" t="s">
        <v>729</v>
      </c>
      <c r="B42" s="200" t="s">
        <v>144</v>
      </c>
      <c r="C42" s="2" t="s">
        <v>144</v>
      </c>
      <c r="D42" s="200" t="s">
        <v>144</v>
      </c>
      <c r="E42" s="11"/>
      <c r="F42" s="55"/>
      <c r="H42" s="64" t="s">
        <v>2182</v>
      </c>
    </row>
    <row r="43" spans="1:10" ht="37.5" x14ac:dyDescent="0.3">
      <c r="A43" s="10" t="s">
        <v>730</v>
      </c>
      <c r="B43" s="200" t="s">
        <v>144</v>
      </c>
      <c r="C43" s="2" t="s">
        <v>144</v>
      </c>
      <c r="D43" s="200" t="s">
        <v>144</v>
      </c>
      <c r="E43" s="10" t="s">
        <v>345</v>
      </c>
      <c r="F43" s="55"/>
      <c r="H43" s="64" t="s">
        <v>2182</v>
      </c>
    </row>
    <row r="44" spans="1:10" ht="13.5" customHeight="1" x14ac:dyDescent="0.3">
      <c r="A44" s="10" t="s">
        <v>731</v>
      </c>
      <c r="B44" s="200" t="s">
        <v>144</v>
      </c>
      <c r="C44" s="2" t="s">
        <v>144</v>
      </c>
      <c r="D44" s="200" t="s">
        <v>144</v>
      </c>
      <c r="E44" s="11"/>
      <c r="F44" s="55"/>
      <c r="H44" s="64" t="s">
        <v>2182</v>
      </c>
    </row>
    <row r="45" spans="1:10" ht="25" x14ac:dyDescent="0.3">
      <c r="A45" s="16" t="s">
        <v>2737</v>
      </c>
      <c r="B45" s="200" t="s">
        <v>144</v>
      </c>
      <c r="C45" s="2" t="s">
        <v>144</v>
      </c>
      <c r="D45" s="200" t="s">
        <v>144</v>
      </c>
      <c r="E45" s="11" t="s">
        <v>346</v>
      </c>
      <c r="F45" s="55"/>
      <c r="H45" s="64" t="s">
        <v>2182</v>
      </c>
    </row>
    <row r="46" spans="1:10" x14ac:dyDescent="0.3">
      <c r="A46" s="34" t="s">
        <v>732</v>
      </c>
      <c r="B46" s="200" t="s">
        <v>144</v>
      </c>
      <c r="C46" s="2" t="s">
        <v>144</v>
      </c>
      <c r="D46" s="200" t="s">
        <v>144</v>
      </c>
      <c r="E46" s="11"/>
      <c r="F46" s="55"/>
      <c r="H46" s="64" t="s">
        <v>2182</v>
      </c>
    </row>
    <row r="47" spans="1:10" x14ac:dyDescent="0.3">
      <c r="A47" s="16" t="s">
        <v>1955</v>
      </c>
      <c r="B47" s="200" t="s">
        <v>144</v>
      </c>
      <c r="C47" s="2" t="s">
        <v>144</v>
      </c>
      <c r="D47" s="200" t="s">
        <v>144</v>
      </c>
      <c r="E47" s="2" t="s">
        <v>1374</v>
      </c>
      <c r="F47" s="55"/>
      <c r="H47" s="64" t="s">
        <v>2182</v>
      </c>
    </row>
    <row r="48" spans="1:10" ht="25" x14ac:dyDescent="0.3">
      <c r="A48" s="16" t="s">
        <v>1375</v>
      </c>
      <c r="B48" s="200" t="s">
        <v>144</v>
      </c>
      <c r="C48" s="2" t="s">
        <v>144</v>
      </c>
      <c r="D48" s="200" t="s">
        <v>144</v>
      </c>
      <c r="E48" s="11" t="s">
        <v>346</v>
      </c>
      <c r="F48" s="55"/>
      <c r="H48" s="64" t="s">
        <v>2182</v>
      </c>
    </row>
    <row r="49" spans="1:8" x14ac:dyDescent="0.3">
      <c r="A49" s="16" t="s">
        <v>1956</v>
      </c>
      <c r="B49" s="200" t="s">
        <v>144</v>
      </c>
      <c r="C49" s="2" t="s">
        <v>144</v>
      </c>
      <c r="D49" s="200" t="s">
        <v>144</v>
      </c>
      <c r="E49" s="11" t="s">
        <v>1957</v>
      </c>
      <c r="F49" s="55"/>
      <c r="H49" s="64" t="s">
        <v>2182</v>
      </c>
    </row>
    <row r="50" spans="1:8" ht="29.25" customHeight="1" x14ac:dyDescent="0.3">
      <c r="A50" s="16" t="s">
        <v>1958</v>
      </c>
      <c r="B50" s="200" t="s">
        <v>144</v>
      </c>
      <c r="C50" s="2" t="s">
        <v>144</v>
      </c>
      <c r="D50" s="200" t="s">
        <v>144</v>
      </c>
      <c r="E50" s="11" t="s">
        <v>1378</v>
      </c>
      <c r="F50" s="55"/>
      <c r="H50" s="64" t="s">
        <v>2182</v>
      </c>
    </row>
    <row r="51" spans="1:8" ht="50" x14ac:dyDescent="0.3">
      <c r="A51" s="16" t="s">
        <v>2264</v>
      </c>
      <c r="B51" s="200" t="s">
        <v>144</v>
      </c>
      <c r="C51" s="2" t="s">
        <v>144</v>
      </c>
      <c r="D51" s="200" t="s">
        <v>144</v>
      </c>
      <c r="E51" s="11" t="s">
        <v>2265</v>
      </c>
      <c r="F51" s="55"/>
      <c r="H51" s="64"/>
    </row>
    <row r="52" spans="1:8" ht="153.65" customHeight="1" x14ac:dyDescent="0.3">
      <c r="A52" s="16" t="s">
        <v>2954</v>
      </c>
      <c r="B52" s="200" t="s">
        <v>144</v>
      </c>
      <c r="C52" s="2" t="s">
        <v>144</v>
      </c>
      <c r="D52" s="200" t="s">
        <v>144</v>
      </c>
      <c r="E52" s="11"/>
      <c r="F52" s="55"/>
      <c r="G52" s="60" t="s">
        <v>993</v>
      </c>
      <c r="H52" s="64"/>
    </row>
    <row r="53" spans="1:8" ht="90.65" customHeight="1" x14ac:dyDescent="0.3">
      <c r="A53" s="16" t="s">
        <v>2952</v>
      </c>
      <c r="B53" s="200" t="s">
        <v>144</v>
      </c>
      <c r="C53" s="2" t="s">
        <v>144</v>
      </c>
      <c r="D53" s="200" t="s">
        <v>144</v>
      </c>
      <c r="E53" s="11"/>
      <c r="F53" s="55"/>
      <c r="G53" s="60" t="s">
        <v>993</v>
      </c>
      <c r="H53" s="64"/>
    </row>
    <row r="54" spans="1:8" ht="54.65" customHeight="1" x14ac:dyDescent="0.3">
      <c r="A54" s="79" t="s">
        <v>2951</v>
      </c>
      <c r="B54" s="200" t="s">
        <v>144</v>
      </c>
      <c r="C54" s="2" t="s">
        <v>144</v>
      </c>
      <c r="D54" s="200" t="s">
        <v>144</v>
      </c>
      <c r="E54" s="16" t="s">
        <v>2953</v>
      </c>
      <c r="F54" s="55"/>
      <c r="G54" s="60" t="s">
        <v>993</v>
      </c>
      <c r="H54" s="64"/>
    </row>
    <row r="55" spans="1:8" ht="75" x14ac:dyDescent="0.3">
      <c r="A55" s="16" t="s">
        <v>2600</v>
      </c>
      <c r="B55" s="200" t="s">
        <v>144</v>
      </c>
      <c r="C55" s="2" t="s">
        <v>144</v>
      </c>
      <c r="D55" s="200" t="s">
        <v>144</v>
      </c>
      <c r="E55" s="2" t="s">
        <v>2519</v>
      </c>
      <c r="F55" s="55"/>
      <c r="G55" s="95"/>
      <c r="H55" s="64"/>
    </row>
    <row r="56" spans="1:8" ht="40" customHeight="1" x14ac:dyDescent="0.3">
      <c r="A56" s="16" t="s">
        <v>2955</v>
      </c>
      <c r="B56" s="200" t="s">
        <v>144</v>
      </c>
      <c r="C56" s="2" t="s">
        <v>144</v>
      </c>
      <c r="D56" s="200" t="s">
        <v>144</v>
      </c>
      <c r="E56" s="2" t="s">
        <v>2520</v>
      </c>
      <c r="F56" s="55"/>
      <c r="G56" s="95" t="s">
        <v>1856</v>
      </c>
      <c r="H56" s="64"/>
    </row>
    <row r="57" spans="1:8" ht="75" x14ac:dyDescent="0.3">
      <c r="A57" s="16" t="s">
        <v>2832</v>
      </c>
      <c r="B57" s="200" t="s">
        <v>144</v>
      </c>
      <c r="C57" s="2" t="s">
        <v>144</v>
      </c>
      <c r="D57" s="200" t="s">
        <v>144</v>
      </c>
      <c r="E57" s="2" t="s">
        <v>2400</v>
      </c>
      <c r="F57" s="55"/>
      <c r="G57" s="95"/>
      <c r="H57" s="64"/>
    </row>
    <row r="58" spans="1:8" ht="37.5" x14ac:dyDescent="0.3">
      <c r="A58" s="16" t="s">
        <v>1959</v>
      </c>
      <c r="B58" s="200" t="s">
        <v>144</v>
      </c>
      <c r="C58" s="2" t="s">
        <v>144</v>
      </c>
      <c r="D58" s="200" t="s">
        <v>144</v>
      </c>
      <c r="E58" s="11" t="s">
        <v>350</v>
      </c>
      <c r="F58" s="55"/>
      <c r="H58" s="64" t="s">
        <v>2182</v>
      </c>
    </row>
    <row r="59" spans="1:8" ht="25" x14ac:dyDescent="0.3">
      <c r="A59" s="16" t="s">
        <v>2521</v>
      </c>
      <c r="B59" s="200" t="s">
        <v>144</v>
      </c>
      <c r="C59" s="2" t="s">
        <v>144</v>
      </c>
      <c r="D59" s="200" t="s">
        <v>144</v>
      </c>
      <c r="E59" s="2" t="s">
        <v>2522</v>
      </c>
      <c r="F59" s="55"/>
      <c r="G59" s="95"/>
      <c r="H59" s="64" t="s">
        <v>2182</v>
      </c>
    </row>
    <row r="60" spans="1:8" x14ac:dyDescent="0.3">
      <c r="A60" s="35" t="s">
        <v>1960</v>
      </c>
      <c r="B60" s="200" t="s">
        <v>646</v>
      </c>
      <c r="C60" s="2" t="s">
        <v>646</v>
      </c>
      <c r="D60" s="200" t="s">
        <v>646</v>
      </c>
      <c r="E60" s="11"/>
      <c r="F60" s="55"/>
      <c r="H60" s="64" t="s">
        <v>2182</v>
      </c>
    </row>
    <row r="61" spans="1:8" ht="50" x14ac:dyDescent="0.3">
      <c r="A61" s="16" t="s">
        <v>2523</v>
      </c>
      <c r="B61" s="200" t="s">
        <v>646</v>
      </c>
      <c r="C61" s="2" t="s">
        <v>646</v>
      </c>
      <c r="D61" s="200"/>
      <c r="E61" s="10" t="s">
        <v>348</v>
      </c>
      <c r="F61" s="55"/>
      <c r="H61" s="64" t="s">
        <v>2182</v>
      </c>
    </row>
    <row r="62" spans="1:8" ht="25" x14ac:dyDescent="0.3">
      <c r="A62" s="16" t="s">
        <v>1961</v>
      </c>
      <c r="B62" s="200" t="s">
        <v>646</v>
      </c>
      <c r="C62" s="2" t="s">
        <v>646</v>
      </c>
      <c r="D62" s="200"/>
      <c r="E62" s="10" t="s">
        <v>1962</v>
      </c>
      <c r="F62" s="55"/>
      <c r="H62" s="64" t="s">
        <v>2182</v>
      </c>
    </row>
    <row r="63" spans="1:8" ht="147.65" customHeight="1" x14ac:dyDescent="0.3">
      <c r="A63" s="16" t="s">
        <v>2956</v>
      </c>
      <c r="B63" s="200" t="s">
        <v>646</v>
      </c>
      <c r="C63" s="2" t="s">
        <v>646</v>
      </c>
      <c r="D63" s="200"/>
      <c r="E63" s="16" t="s">
        <v>2957</v>
      </c>
      <c r="F63" s="55"/>
      <c r="G63" s="60" t="s">
        <v>993</v>
      </c>
      <c r="H63" s="64"/>
    </row>
    <row r="64" spans="1:8" ht="81.650000000000006" customHeight="1" x14ac:dyDescent="0.3">
      <c r="A64" s="79" t="s">
        <v>2958</v>
      </c>
      <c r="B64" s="200" t="s">
        <v>646</v>
      </c>
      <c r="C64" s="2" t="s">
        <v>646</v>
      </c>
      <c r="D64" s="200"/>
      <c r="E64" s="16"/>
      <c r="F64" s="55"/>
      <c r="G64" s="60" t="s">
        <v>993</v>
      </c>
      <c r="H64" s="64"/>
    </row>
    <row r="65" spans="1:10" ht="108" customHeight="1" x14ac:dyDescent="0.3">
      <c r="A65" s="22" t="s">
        <v>2266</v>
      </c>
      <c r="B65" s="200" t="s">
        <v>646</v>
      </c>
      <c r="C65" s="2" t="s">
        <v>646</v>
      </c>
      <c r="D65" s="200"/>
      <c r="E65" s="16" t="s">
        <v>1376</v>
      </c>
      <c r="F65" s="55"/>
      <c r="H65" s="64" t="s">
        <v>2182</v>
      </c>
    </row>
    <row r="66" spans="1:10" ht="62.5" x14ac:dyDescent="0.3">
      <c r="A66" s="22" t="s">
        <v>2601</v>
      </c>
      <c r="B66" s="200" t="s">
        <v>646</v>
      </c>
      <c r="C66" s="2" t="s">
        <v>646</v>
      </c>
      <c r="D66" s="200"/>
      <c r="E66" s="16" t="s">
        <v>2602</v>
      </c>
      <c r="F66" s="55"/>
      <c r="H66" s="64"/>
    </row>
    <row r="67" spans="1:10" ht="25" x14ac:dyDescent="0.3">
      <c r="A67" s="16" t="s">
        <v>2159</v>
      </c>
      <c r="B67" s="200"/>
      <c r="C67" s="2"/>
      <c r="D67" s="200" t="s">
        <v>646</v>
      </c>
      <c r="E67" s="16" t="s">
        <v>2160</v>
      </c>
      <c r="F67" s="55"/>
      <c r="H67" s="64" t="s">
        <v>2182</v>
      </c>
    </row>
    <row r="68" spans="1:10" x14ac:dyDescent="0.3">
      <c r="A68" s="35" t="s">
        <v>1963</v>
      </c>
      <c r="B68" s="200" t="s">
        <v>144</v>
      </c>
      <c r="C68" s="2" t="s">
        <v>144</v>
      </c>
      <c r="D68" s="200" t="s">
        <v>144</v>
      </c>
      <c r="E68" s="16"/>
      <c r="F68" s="55"/>
      <c r="H68" s="64" t="s">
        <v>2182</v>
      </c>
    </row>
    <row r="69" spans="1:10" ht="50" x14ac:dyDescent="0.3">
      <c r="A69" s="16" t="s">
        <v>1964</v>
      </c>
      <c r="B69" s="200" t="s">
        <v>144</v>
      </c>
      <c r="C69" s="2" t="s">
        <v>144</v>
      </c>
      <c r="D69" s="200" t="s">
        <v>144</v>
      </c>
      <c r="E69" s="16" t="s">
        <v>1965</v>
      </c>
      <c r="F69" s="55"/>
      <c r="H69" s="64" t="s">
        <v>2182</v>
      </c>
    </row>
    <row r="70" spans="1:10" ht="62.5" x14ac:dyDescent="0.3">
      <c r="A70" s="16" t="s">
        <v>1377</v>
      </c>
      <c r="B70" s="200" t="s">
        <v>144</v>
      </c>
      <c r="C70" s="2" t="s">
        <v>647</v>
      </c>
      <c r="D70" s="200" t="s">
        <v>647</v>
      </c>
      <c r="E70" s="16" t="s">
        <v>349</v>
      </c>
      <c r="F70" s="55"/>
      <c r="H70" s="64" t="s">
        <v>2182</v>
      </c>
    </row>
    <row r="71" spans="1:10" ht="37.5" x14ac:dyDescent="0.3">
      <c r="A71" s="16" t="s">
        <v>2378</v>
      </c>
      <c r="B71" s="200"/>
      <c r="C71" s="2" t="s">
        <v>144</v>
      </c>
      <c r="D71" s="200" t="s">
        <v>144</v>
      </c>
      <c r="E71" s="16"/>
      <c r="F71" s="55"/>
      <c r="G71" s="95"/>
      <c r="H71" s="64"/>
    </row>
    <row r="72" spans="1:10" x14ac:dyDescent="0.3">
      <c r="A72" s="16" t="s">
        <v>2187</v>
      </c>
      <c r="B72" s="200"/>
      <c r="C72" s="2"/>
      <c r="D72" s="200"/>
      <c r="E72" s="2" t="s">
        <v>2267</v>
      </c>
      <c r="F72" s="55"/>
      <c r="G72" s="6"/>
      <c r="H72" s="64" t="s">
        <v>2182</v>
      </c>
    </row>
    <row r="73" spans="1:10" s="46" customFormat="1" x14ac:dyDescent="0.3">
      <c r="A73" s="34" t="s">
        <v>1643</v>
      </c>
      <c r="B73" s="200" t="s">
        <v>646</v>
      </c>
      <c r="C73" s="2" t="s">
        <v>646</v>
      </c>
      <c r="D73" s="200" t="s">
        <v>646</v>
      </c>
      <c r="E73" s="36"/>
      <c r="F73" s="55"/>
      <c r="G73" s="60"/>
      <c r="H73" s="64" t="s">
        <v>2182</v>
      </c>
      <c r="I73" s="60"/>
      <c r="J73" s="60"/>
    </row>
    <row r="74" spans="1:10" ht="14.25" customHeight="1" x14ac:dyDescent="0.3">
      <c r="A74" s="10" t="s">
        <v>380</v>
      </c>
      <c r="B74" s="200" t="s">
        <v>646</v>
      </c>
      <c r="C74" s="2" t="s">
        <v>646</v>
      </c>
      <c r="D74" s="200" t="s">
        <v>646</v>
      </c>
      <c r="E74" s="10" t="s">
        <v>149</v>
      </c>
      <c r="F74" s="55"/>
      <c r="H74" s="64" t="s">
        <v>2182</v>
      </c>
    </row>
    <row r="75" spans="1:10" ht="25.5" customHeight="1" x14ac:dyDescent="0.3">
      <c r="A75" s="79" t="s">
        <v>1644</v>
      </c>
      <c r="B75" s="200" t="s">
        <v>646</v>
      </c>
      <c r="C75" s="2" t="s">
        <v>646</v>
      </c>
      <c r="D75" s="200" t="s">
        <v>646</v>
      </c>
      <c r="E75" s="16" t="s">
        <v>1382</v>
      </c>
      <c r="F75" s="55"/>
      <c r="H75" s="64" t="s">
        <v>2182</v>
      </c>
    </row>
    <row r="76" spans="1:10" ht="25" x14ac:dyDescent="0.3">
      <c r="A76" s="79" t="s">
        <v>1699</v>
      </c>
      <c r="B76" s="200" t="s">
        <v>646</v>
      </c>
      <c r="C76" s="2" t="s">
        <v>646</v>
      </c>
      <c r="D76" s="200" t="s">
        <v>646</v>
      </c>
      <c r="E76" s="10" t="s">
        <v>356</v>
      </c>
      <c r="F76" s="55"/>
      <c r="H76" s="64" t="s">
        <v>2182</v>
      </c>
    </row>
    <row r="77" spans="1:10" ht="50" x14ac:dyDescent="0.3">
      <c r="A77" s="79" t="s">
        <v>1700</v>
      </c>
      <c r="B77" s="200"/>
      <c r="C77" s="2"/>
      <c r="D77" s="200" t="s">
        <v>647</v>
      </c>
      <c r="E77" s="16" t="s">
        <v>1701</v>
      </c>
      <c r="F77" s="55"/>
      <c r="G77" s="95"/>
      <c r="H77" s="64" t="s">
        <v>2182</v>
      </c>
    </row>
    <row r="78" spans="1:10" ht="26.25" customHeight="1" x14ac:dyDescent="0.3">
      <c r="A78" s="79" t="s">
        <v>1966</v>
      </c>
      <c r="B78" s="200" t="s">
        <v>646</v>
      </c>
      <c r="C78" s="2" t="s">
        <v>646</v>
      </c>
      <c r="D78" s="200" t="s">
        <v>646</v>
      </c>
      <c r="E78" s="10" t="s">
        <v>357</v>
      </c>
      <c r="F78" s="55"/>
      <c r="H78" s="64" t="s">
        <v>2182</v>
      </c>
    </row>
    <row r="79" spans="1:10" ht="25" x14ac:dyDescent="0.3">
      <c r="A79" s="79" t="s">
        <v>1383</v>
      </c>
      <c r="B79" s="200" t="s">
        <v>646</v>
      </c>
      <c r="C79" s="2" t="s">
        <v>646</v>
      </c>
      <c r="D79" s="200" t="s">
        <v>646</v>
      </c>
      <c r="E79" s="10" t="s">
        <v>358</v>
      </c>
      <c r="F79" s="55"/>
      <c r="H79" s="64" t="s">
        <v>2182</v>
      </c>
    </row>
    <row r="80" spans="1:10" ht="37.5" x14ac:dyDescent="0.3">
      <c r="A80" s="79" t="s">
        <v>1384</v>
      </c>
      <c r="B80" s="200" t="s">
        <v>646</v>
      </c>
      <c r="C80" s="2" t="s">
        <v>646</v>
      </c>
      <c r="D80" s="200" t="s">
        <v>646</v>
      </c>
      <c r="E80" s="10" t="s">
        <v>359</v>
      </c>
      <c r="F80" s="55"/>
      <c r="H80" s="64" t="s">
        <v>2182</v>
      </c>
    </row>
    <row r="81" spans="1:8" ht="25" x14ac:dyDescent="0.3">
      <c r="A81" s="79" t="s">
        <v>1645</v>
      </c>
      <c r="B81" s="200" t="s">
        <v>646</v>
      </c>
      <c r="C81" s="2" t="s">
        <v>646</v>
      </c>
      <c r="D81" s="200" t="s">
        <v>646</v>
      </c>
      <c r="E81" s="10" t="s">
        <v>360</v>
      </c>
      <c r="F81" s="55"/>
      <c r="H81" s="64" t="s">
        <v>2182</v>
      </c>
    </row>
    <row r="82" spans="1:8" ht="25" x14ac:dyDescent="0.3">
      <c r="A82" s="79" t="s">
        <v>2738</v>
      </c>
      <c r="B82" s="200" t="s">
        <v>646</v>
      </c>
      <c r="C82" s="2" t="s">
        <v>646</v>
      </c>
      <c r="D82" s="200" t="s">
        <v>646</v>
      </c>
      <c r="E82" s="10"/>
      <c r="F82" s="55"/>
      <c r="H82" s="64" t="s">
        <v>2182</v>
      </c>
    </row>
    <row r="83" spans="1:8" ht="25" x14ac:dyDescent="0.3">
      <c r="A83" s="79" t="s">
        <v>1646</v>
      </c>
      <c r="B83" s="200" t="s">
        <v>646</v>
      </c>
      <c r="C83" s="2" t="s">
        <v>646</v>
      </c>
      <c r="D83" s="200" t="s">
        <v>646</v>
      </c>
      <c r="E83" s="16" t="s">
        <v>1648</v>
      </c>
      <c r="F83" s="55"/>
      <c r="H83" s="64" t="s">
        <v>2182</v>
      </c>
    </row>
    <row r="84" spans="1:8" ht="37.5" x14ac:dyDescent="0.3">
      <c r="A84" s="79" t="s">
        <v>1647</v>
      </c>
      <c r="B84" s="200" t="s">
        <v>646</v>
      </c>
      <c r="C84" s="2" t="s">
        <v>646</v>
      </c>
      <c r="D84" s="200" t="s">
        <v>646</v>
      </c>
      <c r="E84" s="16" t="s">
        <v>1649</v>
      </c>
      <c r="F84" s="55"/>
      <c r="H84" s="64" t="s">
        <v>2182</v>
      </c>
    </row>
    <row r="85" spans="1:8" ht="54.75" customHeight="1" x14ac:dyDescent="0.3">
      <c r="A85" s="79" t="s">
        <v>1967</v>
      </c>
      <c r="B85" s="200" t="s">
        <v>646</v>
      </c>
      <c r="C85" s="2" t="s">
        <v>646</v>
      </c>
      <c r="D85" s="200" t="s">
        <v>646</v>
      </c>
      <c r="E85" s="16" t="s">
        <v>1650</v>
      </c>
      <c r="F85" s="55"/>
      <c r="H85" s="64" t="s">
        <v>2182</v>
      </c>
    </row>
    <row r="86" spans="1:8" ht="62.5" x14ac:dyDescent="0.3">
      <c r="A86" s="79" t="s">
        <v>1968</v>
      </c>
      <c r="B86" s="200" t="s">
        <v>646</v>
      </c>
      <c r="C86" s="2" t="s">
        <v>646</v>
      </c>
      <c r="D86" s="200" t="s">
        <v>646</v>
      </c>
      <c r="E86" s="16" t="s">
        <v>709</v>
      </c>
      <c r="F86" s="55"/>
      <c r="H86" s="64" t="s">
        <v>2182</v>
      </c>
    </row>
    <row r="87" spans="1:8" x14ac:dyDescent="0.25">
      <c r="A87" s="154" t="s">
        <v>2524</v>
      </c>
      <c r="B87" s="200" t="s">
        <v>646</v>
      </c>
      <c r="C87" s="2" t="s">
        <v>646</v>
      </c>
      <c r="D87" s="200"/>
      <c r="E87" s="10"/>
      <c r="F87" s="55"/>
    </row>
    <row r="88" spans="1:8" ht="37.5" x14ac:dyDescent="0.25">
      <c r="A88" s="79" t="s">
        <v>2525</v>
      </c>
      <c r="B88" s="200" t="s">
        <v>646</v>
      </c>
      <c r="C88" s="2" t="s">
        <v>646</v>
      </c>
      <c r="D88" s="200"/>
      <c r="E88" s="16" t="s">
        <v>33</v>
      </c>
      <c r="F88" s="55"/>
    </row>
    <row r="89" spans="1:8" x14ac:dyDescent="0.25">
      <c r="A89" s="79" t="s">
        <v>2526</v>
      </c>
      <c r="B89" s="200" t="s">
        <v>646</v>
      </c>
      <c r="C89" s="2" t="s">
        <v>646</v>
      </c>
      <c r="D89" s="200"/>
      <c r="E89" s="16" t="s">
        <v>2536</v>
      </c>
      <c r="F89" s="55"/>
    </row>
    <row r="90" spans="1:8" ht="37.5" x14ac:dyDescent="0.25">
      <c r="A90" s="79" t="s">
        <v>2527</v>
      </c>
      <c r="B90" s="200" t="s">
        <v>646</v>
      </c>
      <c r="C90" s="2" t="s">
        <v>646</v>
      </c>
      <c r="D90" s="200"/>
      <c r="E90" s="16" t="s">
        <v>2535</v>
      </c>
      <c r="F90" s="55"/>
    </row>
    <row r="91" spans="1:8" ht="25" x14ac:dyDescent="0.25">
      <c r="A91" s="79" t="s">
        <v>2528</v>
      </c>
      <c r="B91" s="200" t="s">
        <v>646</v>
      </c>
      <c r="C91" s="2" t="s">
        <v>646</v>
      </c>
      <c r="D91" s="200"/>
      <c r="E91" s="16" t="s">
        <v>2615</v>
      </c>
      <c r="F91" s="55"/>
    </row>
    <row r="92" spans="1:8" ht="37.5" x14ac:dyDescent="0.25">
      <c r="A92" s="79" t="s">
        <v>2529</v>
      </c>
      <c r="B92" s="200" t="s">
        <v>646</v>
      </c>
      <c r="C92" s="2" t="s">
        <v>646</v>
      </c>
      <c r="D92" s="200"/>
      <c r="E92" s="16"/>
      <c r="F92" s="55"/>
    </row>
    <row r="93" spans="1:8" ht="25" x14ac:dyDescent="0.25">
      <c r="A93" s="79" t="s">
        <v>2530</v>
      </c>
      <c r="B93" s="200" t="s">
        <v>646</v>
      </c>
      <c r="C93" s="2" t="s">
        <v>646</v>
      </c>
      <c r="D93" s="200"/>
      <c r="E93" s="16"/>
      <c r="F93" s="55"/>
    </row>
    <row r="94" spans="1:8" x14ac:dyDescent="0.25">
      <c r="A94" s="79" t="s">
        <v>2531</v>
      </c>
      <c r="B94" s="200" t="s">
        <v>646</v>
      </c>
      <c r="C94" s="2" t="s">
        <v>646</v>
      </c>
      <c r="D94" s="200"/>
      <c r="E94" s="16"/>
      <c r="F94" s="55"/>
    </row>
    <row r="95" spans="1:8" ht="25" x14ac:dyDescent="0.25">
      <c r="A95" s="79" t="s">
        <v>2811</v>
      </c>
      <c r="B95" s="200" t="s">
        <v>646</v>
      </c>
      <c r="C95" s="2" t="s">
        <v>843</v>
      </c>
      <c r="D95" s="200"/>
      <c r="E95" s="16" t="s">
        <v>2534</v>
      </c>
      <c r="F95" s="55"/>
    </row>
    <row r="96" spans="1:8" x14ac:dyDescent="0.25">
      <c r="A96" s="79" t="s">
        <v>2532</v>
      </c>
      <c r="B96" s="200" t="s">
        <v>646</v>
      </c>
      <c r="C96" s="2" t="s">
        <v>843</v>
      </c>
      <c r="D96" s="200"/>
      <c r="E96" s="16"/>
      <c r="F96" s="55"/>
    </row>
    <row r="97" spans="1:6" x14ac:dyDescent="0.25">
      <c r="A97" s="79" t="s">
        <v>2533</v>
      </c>
      <c r="B97" s="200" t="s">
        <v>646</v>
      </c>
      <c r="C97" s="2" t="s">
        <v>843</v>
      </c>
      <c r="D97" s="200"/>
      <c r="E97" s="16"/>
      <c r="F97" s="55"/>
    </row>
    <row r="98" spans="1:6" ht="25" x14ac:dyDescent="0.25">
      <c r="A98" s="79" t="s">
        <v>2603</v>
      </c>
      <c r="B98" s="200" t="s">
        <v>646</v>
      </c>
      <c r="C98" s="2" t="s">
        <v>843</v>
      </c>
      <c r="D98" s="200"/>
      <c r="E98" s="16" t="s">
        <v>32</v>
      </c>
      <c r="F98" s="55"/>
    </row>
  </sheetData>
  <sheetProtection algorithmName="SHA-512" hashValue="zQAuHrhRkfL5SRSu62BYtycYnYp1WCYAR3fVKvy5Y0Re/Ni/1QYsdxTukynRtfnnpHZtypYa+GAoVz3k3MuBEA==" saltValue="iavCx04Z/GlY9rtQrdaMLw==" spinCount="100000" sheet="1" objects="1" scenarios="1" autoFilter="0"/>
  <autoFilter ref="B5:G98" xr:uid="{00000000-0009-0000-0000-00001E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2" fitToHeight="100" orientation="landscape" r:id="rId1"/>
      <headerFooter alignWithMargins="0"/>
      <autoFilter ref="B1:G1" xr:uid="{1F991CA5-B151-40CD-87B3-F205DE7AD003}"/>
    </customSheetView>
  </customSheetViews>
  <mergeCells count="1">
    <mergeCell ref="B4:F4"/>
  </mergeCells>
  <phoneticPr fontId="2" type="noConversion"/>
  <dataValidations count="1">
    <dataValidation type="list" allowBlank="1" showInputMessage="1" showErrorMessage="1" sqref="F6:F86" xr:uid="{00000000-0002-0000-1E00-000000000000}">
      <formula1>"Akkoord,Opmerking,N.v.t.,,"</formula1>
    </dataValidation>
  </dataValidations>
  <hyperlinks>
    <hyperlink ref="A5" location="Consolidatie!A2" display="Consolidatie" xr:uid="{00000000-0004-0000-1E00-000000000000}"/>
    <hyperlink ref="A6" location="Consolidatie!A3" display="ALGEMEEN" xr:uid="{00000000-0004-0000-1E00-000001000000}"/>
    <hyperlink ref="A46" location="Consolidatie!A25" display="Consolidatietechniek" xr:uid="{00000000-0004-0000-1E00-000002000000}"/>
    <hyperlink ref="A73" location="Consolidatie!A47" display="VRIJSTELLINGEN EN VEREENVOUDIGINGEN" xr:uid="{00000000-0004-0000-1E00-000003000000}"/>
    <hyperlink ref="A37" location="Consolidatie!A11" display="Consolidatieplicht" xr:uid="{00000000-0004-0000-1E00-000004000000}"/>
    <hyperlink ref="A18" location="'Financiële vaste activa'!A1" display="Voor de diverse waarderingsgrondslagen zie Financiële vaste activa" xr:uid="{00000000-0004-0000-1E00-000005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8677"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Blad21">
    <tabColor rgb="FF951B81"/>
    <pageSetUpPr fitToPage="1"/>
  </sheetPr>
  <dimension ref="A1:J109"/>
  <sheetViews>
    <sheetView showGridLines="0" zoomScaleNormal="100" workbookViewId="0">
      <pane ySplit="5" topLeftCell="A82" activePane="bottomLeft" state="frozen"/>
      <selection activeCell="F6" sqref="F6"/>
      <selection pane="bottomLeft" activeCell="A102" sqref="A102"/>
    </sheetView>
  </sheetViews>
  <sheetFormatPr defaultColWidth="9.1796875" defaultRowHeight="13" x14ac:dyDescent="0.25"/>
  <cols>
    <col min="1" max="1" width="60.7265625" style="5" customWidth="1"/>
    <col min="2" max="2" width="9" style="1" customWidth="1"/>
    <col min="3" max="3" width="10.81640625" style="1" customWidth="1"/>
    <col min="4" max="4" width="8.453125" style="1" customWidth="1"/>
    <col min="5" max="5" width="16.7265625" style="6" customWidth="1"/>
    <col min="6" max="6" width="10.7265625" style="58" customWidth="1"/>
    <col min="7" max="7" width="63.7265625" style="60"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196" t="s">
        <v>1063</v>
      </c>
      <c r="B5" s="197" t="s">
        <v>642</v>
      </c>
      <c r="C5" s="197" t="s">
        <v>643</v>
      </c>
      <c r="D5" s="197" t="s">
        <v>644</v>
      </c>
      <c r="E5" s="198" t="s">
        <v>645</v>
      </c>
      <c r="F5" s="197" t="s">
        <v>54</v>
      </c>
      <c r="G5" s="199" t="s">
        <v>2858</v>
      </c>
    </row>
    <row r="6" spans="1:10" s="46" customFormat="1" x14ac:dyDescent="0.3">
      <c r="A6" s="40" t="s">
        <v>546</v>
      </c>
      <c r="B6" s="208" t="s">
        <v>144</v>
      </c>
      <c r="C6" s="32" t="s">
        <v>144</v>
      </c>
      <c r="D6" s="208" t="s">
        <v>144</v>
      </c>
      <c r="E6" s="41"/>
      <c r="F6" s="55"/>
      <c r="G6" s="60"/>
      <c r="H6" s="64" t="s">
        <v>2182</v>
      </c>
      <c r="I6" s="60"/>
      <c r="J6" s="60"/>
    </row>
    <row r="7" spans="1:10" ht="37.5" x14ac:dyDescent="0.3">
      <c r="A7" s="10" t="s">
        <v>316</v>
      </c>
      <c r="B7" s="200" t="s">
        <v>144</v>
      </c>
      <c r="C7" s="2" t="s">
        <v>144</v>
      </c>
      <c r="D7" s="200" t="s">
        <v>144</v>
      </c>
      <c r="E7" s="16" t="s">
        <v>609</v>
      </c>
      <c r="F7" s="55"/>
      <c r="H7" s="64" t="s">
        <v>2182</v>
      </c>
    </row>
    <row r="8" spans="1:10" x14ac:dyDescent="0.3">
      <c r="A8" s="10" t="s">
        <v>317</v>
      </c>
      <c r="B8" s="200" t="s">
        <v>144</v>
      </c>
      <c r="C8" s="2" t="s">
        <v>144</v>
      </c>
      <c r="D8" s="200" t="s">
        <v>144</v>
      </c>
      <c r="E8" s="11"/>
      <c r="F8" s="55"/>
      <c r="H8" s="64" t="s">
        <v>2182</v>
      </c>
    </row>
    <row r="9" spans="1:10" ht="25" x14ac:dyDescent="0.3">
      <c r="A9" s="79" t="s">
        <v>1385</v>
      </c>
      <c r="B9" s="200" t="s">
        <v>144</v>
      </c>
      <c r="C9" s="2" t="s">
        <v>144</v>
      </c>
      <c r="D9" s="200" t="s">
        <v>144</v>
      </c>
      <c r="E9" s="11"/>
      <c r="F9" s="55"/>
      <c r="H9" s="64" t="s">
        <v>2182</v>
      </c>
    </row>
    <row r="10" spans="1:10" ht="65.25" customHeight="1" x14ac:dyDescent="0.3">
      <c r="A10" s="79" t="s">
        <v>1969</v>
      </c>
      <c r="B10" s="200" t="s">
        <v>144</v>
      </c>
      <c r="C10" s="2" t="s">
        <v>144</v>
      </c>
      <c r="D10" s="200" t="s">
        <v>144</v>
      </c>
      <c r="E10" s="11"/>
      <c r="F10" s="55"/>
      <c r="H10" s="64" t="s">
        <v>2182</v>
      </c>
    </row>
    <row r="11" spans="1:10" ht="37.5" x14ac:dyDescent="0.3">
      <c r="A11" s="16" t="s">
        <v>1064</v>
      </c>
      <c r="B11" s="200" t="s">
        <v>144</v>
      </c>
      <c r="C11" s="2" t="s">
        <v>144</v>
      </c>
      <c r="D11" s="200" t="s">
        <v>144</v>
      </c>
      <c r="E11" s="11"/>
      <c r="F11" s="55"/>
      <c r="H11" s="64" t="s">
        <v>2182</v>
      </c>
    </row>
    <row r="12" spans="1:10" ht="37.5" x14ac:dyDescent="0.3">
      <c r="A12" s="16" t="s">
        <v>1970</v>
      </c>
      <c r="B12" s="200" t="s">
        <v>144</v>
      </c>
      <c r="C12" s="2" t="s">
        <v>144</v>
      </c>
      <c r="D12" s="200" t="s">
        <v>144</v>
      </c>
      <c r="E12" s="10" t="s">
        <v>176</v>
      </c>
      <c r="F12" s="55"/>
      <c r="H12" s="64" t="s">
        <v>2182</v>
      </c>
    </row>
    <row r="13" spans="1:10" x14ac:dyDescent="0.3">
      <c r="A13" s="10" t="s">
        <v>863</v>
      </c>
      <c r="B13" s="200" t="s">
        <v>144</v>
      </c>
      <c r="C13" s="2" t="s">
        <v>144</v>
      </c>
      <c r="D13" s="200" t="s">
        <v>144</v>
      </c>
      <c r="E13" s="11"/>
      <c r="F13" s="55"/>
      <c r="H13" s="64" t="s">
        <v>2182</v>
      </c>
    </row>
    <row r="14" spans="1:10" ht="50" x14ac:dyDescent="0.3">
      <c r="A14" s="16" t="s">
        <v>1775</v>
      </c>
      <c r="B14" s="200" t="s">
        <v>144</v>
      </c>
      <c r="C14" s="2" t="s">
        <v>144</v>
      </c>
      <c r="D14" s="200" t="s">
        <v>144</v>
      </c>
      <c r="E14" s="10" t="s">
        <v>177</v>
      </c>
      <c r="F14" s="55"/>
      <c r="H14" s="64" t="s">
        <v>2182</v>
      </c>
    </row>
    <row r="15" spans="1:10" ht="27" customHeight="1" x14ac:dyDescent="0.3">
      <c r="A15" s="16" t="s">
        <v>2268</v>
      </c>
      <c r="B15" s="200" t="s">
        <v>144</v>
      </c>
      <c r="C15" s="2" t="s">
        <v>144</v>
      </c>
      <c r="D15" s="200" t="s">
        <v>144</v>
      </c>
      <c r="E15" s="16" t="s">
        <v>2270</v>
      </c>
      <c r="F15" s="55"/>
      <c r="H15" s="64" t="s">
        <v>2182</v>
      </c>
    </row>
    <row r="16" spans="1:10" ht="65.5" customHeight="1" x14ac:dyDescent="0.3">
      <c r="A16" s="16" t="s">
        <v>2959</v>
      </c>
      <c r="B16" s="200" t="s">
        <v>144</v>
      </c>
      <c r="C16" s="2" t="s">
        <v>144</v>
      </c>
      <c r="D16" s="200" t="s">
        <v>144</v>
      </c>
      <c r="E16" s="16" t="s">
        <v>2960</v>
      </c>
      <c r="F16" s="55"/>
      <c r="G16" s="60" t="s">
        <v>993</v>
      </c>
      <c r="H16" s="64"/>
    </row>
    <row r="17" spans="1:8" ht="25.5" customHeight="1" x14ac:dyDescent="0.3">
      <c r="A17" s="16" t="s">
        <v>2269</v>
      </c>
      <c r="B17" s="200" t="s">
        <v>144</v>
      </c>
      <c r="C17" s="2" t="s">
        <v>144</v>
      </c>
      <c r="D17" s="200" t="s">
        <v>144</v>
      </c>
      <c r="E17" s="16" t="s">
        <v>2271</v>
      </c>
      <c r="F17" s="55"/>
      <c r="H17" s="64"/>
    </row>
    <row r="18" spans="1:8" x14ac:dyDescent="0.3">
      <c r="A18" s="10" t="s">
        <v>302</v>
      </c>
      <c r="B18" s="200" t="s">
        <v>144</v>
      </c>
      <c r="C18" s="2" t="s">
        <v>144</v>
      </c>
      <c r="D18" s="200" t="s">
        <v>144</v>
      </c>
      <c r="E18" s="11"/>
      <c r="F18" s="55"/>
      <c r="H18" s="64" t="s">
        <v>2182</v>
      </c>
    </row>
    <row r="19" spans="1:8" ht="15" customHeight="1" x14ac:dyDescent="0.3">
      <c r="A19" s="10" t="s">
        <v>507</v>
      </c>
      <c r="B19" s="200" t="s">
        <v>144</v>
      </c>
      <c r="C19" s="2" t="s">
        <v>144</v>
      </c>
      <c r="D19" s="200" t="s">
        <v>144</v>
      </c>
      <c r="E19" s="10" t="s">
        <v>516</v>
      </c>
      <c r="F19" s="55"/>
      <c r="H19" s="64" t="s">
        <v>2182</v>
      </c>
    </row>
    <row r="20" spans="1:8" ht="15" customHeight="1" x14ac:dyDescent="0.3">
      <c r="A20" s="10" t="s">
        <v>1072</v>
      </c>
      <c r="B20" s="200" t="s">
        <v>144</v>
      </c>
      <c r="C20" s="2" t="s">
        <v>144</v>
      </c>
      <c r="D20" s="200" t="s">
        <v>144</v>
      </c>
      <c r="E20" s="16" t="s">
        <v>151</v>
      </c>
      <c r="F20" s="55"/>
      <c r="H20" s="64"/>
    </row>
    <row r="21" spans="1:8" ht="15" customHeight="1" x14ac:dyDescent="0.3">
      <c r="A21" s="88" t="s">
        <v>1191</v>
      </c>
      <c r="B21" s="200" t="s">
        <v>144</v>
      </c>
      <c r="C21" s="2" t="s">
        <v>144</v>
      </c>
      <c r="D21" s="200" t="s">
        <v>144</v>
      </c>
      <c r="E21" s="10"/>
      <c r="F21" s="55"/>
      <c r="H21" s="64"/>
    </row>
    <row r="22" spans="1:8" ht="15" customHeight="1" x14ac:dyDescent="0.3">
      <c r="A22" s="79" t="s">
        <v>1393</v>
      </c>
      <c r="B22" s="200" t="s">
        <v>144</v>
      </c>
      <c r="C22" s="2" t="s">
        <v>144</v>
      </c>
      <c r="D22" s="200" t="s">
        <v>144</v>
      </c>
      <c r="E22" s="10"/>
      <c r="F22" s="55"/>
      <c r="H22" s="64"/>
    </row>
    <row r="23" spans="1:8" ht="15" customHeight="1" x14ac:dyDescent="0.3">
      <c r="A23" s="79" t="s">
        <v>1193</v>
      </c>
      <c r="B23" s="200" t="s">
        <v>144</v>
      </c>
      <c r="C23" s="2" t="s">
        <v>144</v>
      </c>
      <c r="D23" s="200" t="s">
        <v>144</v>
      </c>
      <c r="E23" s="10"/>
      <c r="F23" s="55"/>
      <c r="H23" s="64"/>
    </row>
    <row r="24" spans="1:8" ht="15" customHeight="1" x14ac:dyDescent="0.3">
      <c r="A24" s="79" t="s">
        <v>1073</v>
      </c>
      <c r="B24" s="200" t="s">
        <v>144</v>
      </c>
      <c r="C24" s="2" t="s">
        <v>144</v>
      </c>
      <c r="D24" s="200" t="s">
        <v>144</v>
      </c>
      <c r="E24" s="10"/>
      <c r="F24" s="55"/>
      <c r="H24" s="64"/>
    </row>
    <row r="25" spans="1:8" ht="37.5" x14ac:dyDescent="0.3">
      <c r="A25" s="16" t="s">
        <v>1386</v>
      </c>
      <c r="B25" s="200" t="s">
        <v>144</v>
      </c>
      <c r="C25" s="2" t="s">
        <v>144</v>
      </c>
      <c r="D25" s="200" t="s">
        <v>144</v>
      </c>
      <c r="E25" s="2" t="s">
        <v>519</v>
      </c>
      <c r="F25" s="55"/>
      <c r="H25" s="64" t="s">
        <v>2182</v>
      </c>
    </row>
    <row r="26" spans="1:8" ht="37.5" x14ac:dyDescent="0.3">
      <c r="A26" s="16" t="s">
        <v>2739</v>
      </c>
      <c r="B26" s="200" t="s">
        <v>144</v>
      </c>
      <c r="C26" s="2" t="s">
        <v>144</v>
      </c>
      <c r="D26" s="200" t="s">
        <v>144</v>
      </c>
      <c r="E26" s="10" t="s">
        <v>178</v>
      </c>
      <c r="F26" s="55"/>
      <c r="H26" s="64" t="s">
        <v>2182</v>
      </c>
    </row>
    <row r="27" spans="1:8" ht="50" x14ac:dyDescent="0.3">
      <c r="A27" s="16" t="s">
        <v>2162</v>
      </c>
      <c r="B27" s="200" t="s">
        <v>144</v>
      </c>
      <c r="C27" s="2" t="s">
        <v>144</v>
      </c>
      <c r="D27" s="200" t="s">
        <v>144</v>
      </c>
      <c r="E27" s="2" t="s">
        <v>1065</v>
      </c>
      <c r="F27" s="55"/>
      <c r="H27" s="64" t="s">
        <v>2182</v>
      </c>
    </row>
    <row r="28" spans="1:8" x14ac:dyDescent="0.3">
      <c r="A28" s="16" t="s">
        <v>2163</v>
      </c>
      <c r="B28" s="200" t="s">
        <v>144</v>
      </c>
      <c r="C28" s="2" t="s">
        <v>144</v>
      </c>
      <c r="D28" s="200" t="s">
        <v>144</v>
      </c>
      <c r="E28" s="10" t="s">
        <v>911</v>
      </c>
      <c r="F28" s="55"/>
      <c r="H28" s="64" t="s">
        <v>2182</v>
      </c>
    </row>
    <row r="29" spans="1:8" x14ac:dyDescent="0.3">
      <c r="A29" s="16" t="s">
        <v>1652</v>
      </c>
      <c r="B29" s="200" t="s">
        <v>144</v>
      </c>
      <c r="C29" s="2" t="s">
        <v>144</v>
      </c>
      <c r="D29" s="200" t="s">
        <v>144</v>
      </c>
      <c r="E29" s="2" t="s">
        <v>664</v>
      </c>
      <c r="F29" s="55"/>
      <c r="H29" s="64" t="s">
        <v>2182</v>
      </c>
    </row>
    <row r="30" spans="1:8" x14ac:dyDescent="0.3">
      <c r="A30" s="16" t="s">
        <v>2164</v>
      </c>
      <c r="B30" s="200" t="s">
        <v>144</v>
      </c>
      <c r="C30" s="2" t="s">
        <v>144</v>
      </c>
      <c r="D30" s="200" t="s">
        <v>144</v>
      </c>
      <c r="E30" s="2" t="s">
        <v>1066</v>
      </c>
      <c r="F30" s="55"/>
      <c r="H30" s="64" t="s">
        <v>2182</v>
      </c>
    </row>
    <row r="31" spans="1:8" ht="14.25" customHeight="1" x14ac:dyDescent="0.3">
      <c r="A31" s="16" t="s">
        <v>2740</v>
      </c>
      <c r="B31" s="200" t="s">
        <v>144</v>
      </c>
      <c r="C31" s="2" t="s">
        <v>144</v>
      </c>
      <c r="D31" s="200" t="s">
        <v>144</v>
      </c>
      <c r="E31" s="11"/>
      <c r="F31" s="55"/>
      <c r="H31" s="64" t="s">
        <v>2182</v>
      </c>
    </row>
    <row r="32" spans="1:8" x14ac:dyDescent="0.3">
      <c r="A32" s="16" t="s">
        <v>1388</v>
      </c>
      <c r="B32" s="200" t="s">
        <v>144</v>
      </c>
      <c r="C32" s="2" t="s">
        <v>144</v>
      </c>
      <c r="D32" s="200" t="s">
        <v>144</v>
      </c>
      <c r="E32" s="11"/>
      <c r="F32" s="55"/>
      <c r="H32" s="64" t="s">
        <v>2182</v>
      </c>
    </row>
    <row r="33" spans="1:8" ht="25" x14ac:dyDescent="0.3">
      <c r="A33" s="16" t="s">
        <v>1387</v>
      </c>
      <c r="B33" s="200" t="s">
        <v>144</v>
      </c>
      <c r="C33" s="2" t="s">
        <v>144</v>
      </c>
      <c r="D33" s="200" t="s">
        <v>144</v>
      </c>
      <c r="E33" s="11"/>
      <c r="F33" s="55"/>
      <c r="H33" s="64" t="s">
        <v>2182</v>
      </c>
    </row>
    <row r="34" spans="1:8" x14ac:dyDescent="0.3">
      <c r="A34" s="16" t="s">
        <v>1653</v>
      </c>
      <c r="B34" s="200" t="s">
        <v>144</v>
      </c>
      <c r="C34" s="2" t="s">
        <v>144</v>
      </c>
      <c r="D34" s="200" t="s">
        <v>144</v>
      </c>
      <c r="E34" s="2" t="s">
        <v>1068</v>
      </c>
      <c r="F34" s="55"/>
      <c r="H34" s="64" t="s">
        <v>2182</v>
      </c>
    </row>
    <row r="35" spans="1:8" x14ac:dyDescent="0.3">
      <c r="A35" s="16" t="s">
        <v>1389</v>
      </c>
      <c r="B35" s="200" t="s">
        <v>144</v>
      </c>
      <c r="C35" s="2" t="s">
        <v>144</v>
      </c>
      <c r="D35" s="200" t="s">
        <v>144</v>
      </c>
      <c r="E35" s="11"/>
      <c r="F35" s="55"/>
      <c r="H35" s="64" t="s">
        <v>2182</v>
      </c>
    </row>
    <row r="36" spans="1:8" x14ac:dyDescent="0.3">
      <c r="A36" s="16" t="s">
        <v>1390</v>
      </c>
      <c r="B36" s="200" t="s">
        <v>144</v>
      </c>
      <c r="C36" s="2" t="s">
        <v>144</v>
      </c>
      <c r="D36" s="200" t="s">
        <v>144</v>
      </c>
      <c r="E36" s="10"/>
      <c r="F36" s="55"/>
      <c r="H36" s="64" t="s">
        <v>2182</v>
      </c>
    </row>
    <row r="37" spans="1:8" ht="25" x14ac:dyDescent="0.3">
      <c r="A37" s="16" t="s">
        <v>1776</v>
      </c>
      <c r="B37" s="200" t="s">
        <v>144</v>
      </c>
      <c r="C37" s="2" t="s">
        <v>144</v>
      </c>
      <c r="D37" s="200" t="s">
        <v>144</v>
      </c>
      <c r="E37" s="2" t="s">
        <v>1067</v>
      </c>
      <c r="F37" s="55"/>
      <c r="H37" s="64" t="s">
        <v>2182</v>
      </c>
    </row>
    <row r="38" spans="1:8" ht="25" x14ac:dyDescent="0.3">
      <c r="A38" s="16" t="s">
        <v>2304</v>
      </c>
      <c r="B38" s="200" t="s">
        <v>144</v>
      </c>
      <c r="C38" s="2" t="s">
        <v>144</v>
      </c>
      <c r="D38" s="200" t="s">
        <v>144</v>
      </c>
      <c r="E38" s="2" t="s">
        <v>1069</v>
      </c>
      <c r="F38" s="55"/>
      <c r="H38" s="64" t="s">
        <v>2182</v>
      </c>
    </row>
    <row r="39" spans="1:8" x14ac:dyDescent="0.3">
      <c r="A39" s="16" t="s">
        <v>1391</v>
      </c>
      <c r="B39" s="200" t="s">
        <v>144</v>
      </c>
      <c r="C39" s="2" t="s">
        <v>144</v>
      </c>
      <c r="D39" s="200" t="s">
        <v>144</v>
      </c>
      <c r="E39" s="11"/>
      <c r="F39" s="55"/>
      <c r="H39" s="64" t="s">
        <v>2182</v>
      </c>
    </row>
    <row r="40" spans="1:8" x14ac:dyDescent="0.3">
      <c r="A40" s="16" t="s">
        <v>1392</v>
      </c>
      <c r="B40" s="200" t="s">
        <v>144</v>
      </c>
      <c r="C40" s="2" t="s">
        <v>144</v>
      </c>
      <c r="D40" s="200" t="s">
        <v>144</v>
      </c>
      <c r="E40" s="11"/>
      <c r="F40" s="55"/>
      <c r="H40" s="64" t="s">
        <v>2182</v>
      </c>
    </row>
    <row r="41" spans="1:8" ht="25" x14ac:dyDescent="0.3">
      <c r="A41" s="16" t="s">
        <v>1777</v>
      </c>
      <c r="B41" s="200" t="s">
        <v>144</v>
      </c>
      <c r="C41" s="2" t="s">
        <v>144</v>
      </c>
      <c r="D41" s="200" t="s">
        <v>144</v>
      </c>
      <c r="E41" s="2" t="s">
        <v>666</v>
      </c>
      <c r="F41" s="55"/>
      <c r="H41" s="64" t="s">
        <v>2182</v>
      </c>
    </row>
    <row r="42" spans="1:8" ht="50" x14ac:dyDescent="0.3">
      <c r="A42" s="16" t="s">
        <v>1971</v>
      </c>
      <c r="B42" s="200" t="s">
        <v>144</v>
      </c>
      <c r="C42" s="2" t="s">
        <v>144</v>
      </c>
      <c r="D42" s="200" t="s">
        <v>144</v>
      </c>
      <c r="E42" s="16" t="s">
        <v>1070</v>
      </c>
      <c r="F42" s="55"/>
      <c r="H42" s="64" t="s">
        <v>2182</v>
      </c>
    </row>
    <row r="43" spans="1:8" ht="81" customHeight="1" x14ac:dyDescent="0.3">
      <c r="A43" s="16" t="s">
        <v>2741</v>
      </c>
      <c r="B43" s="200" t="s">
        <v>144</v>
      </c>
      <c r="C43" s="2" t="s">
        <v>144</v>
      </c>
      <c r="D43" s="200" t="s">
        <v>144</v>
      </c>
      <c r="E43" s="16" t="s">
        <v>2961</v>
      </c>
      <c r="F43" s="55"/>
      <c r="G43" s="60" t="s">
        <v>2329</v>
      </c>
      <c r="H43" s="64" t="s">
        <v>2182</v>
      </c>
    </row>
    <row r="44" spans="1:8" x14ac:dyDescent="0.3">
      <c r="A44" s="35" t="s">
        <v>2300</v>
      </c>
      <c r="B44" s="200" t="s">
        <v>144</v>
      </c>
      <c r="C44" s="2" t="s">
        <v>144</v>
      </c>
      <c r="D44" s="200" t="s">
        <v>144</v>
      </c>
      <c r="E44" s="10"/>
      <c r="F44" s="55"/>
      <c r="H44" s="64"/>
    </row>
    <row r="45" spans="1:8" ht="75" x14ac:dyDescent="0.3">
      <c r="A45" s="16" t="s">
        <v>2272</v>
      </c>
      <c r="B45" s="200" t="s">
        <v>144</v>
      </c>
      <c r="C45" s="2" t="s">
        <v>144</v>
      </c>
      <c r="D45" s="200" t="s">
        <v>144</v>
      </c>
      <c r="E45" s="16" t="s">
        <v>2273</v>
      </c>
      <c r="F45" s="55"/>
      <c r="H45" s="64" t="s">
        <v>2182</v>
      </c>
    </row>
    <row r="46" spans="1:8" ht="39" customHeight="1" x14ac:dyDescent="0.3">
      <c r="A46" s="10" t="s">
        <v>164</v>
      </c>
      <c r="B46" s="200" t="s">
        <v>144</v>
      </c>
      <c r="C46" s="2" t="s">
        <v>144</v>
      </c>
      <c r="D46" s="200" t="s">
        <v>144</v>
      </c>
      <c r="E46" s="16" t="s">
        <v>1071</v>
      </c>
      <c r="F46" s="55"/>
      <c r="H46" s="64" t="s">
        <v>2182</v>
      </c>
    </row>
    <row r="47" spans="1:8" ht="78" customHeight="1" x14ac:dyDescent="0.3">
      <c r="A47" s="16" t="s">
        <v>2339</v>
      </c>
      <c r="B47" s="200" t="s">
        <v>144</v>
      </c>
      <c r="C47" s="2" t="s">
        <v>144</v>
      </c>
      <c r="D47" s="200" t="s">
        <v>144</v>
      </c>
      <c r="E47" s="16" t="s">
        <v>2301</v>
      </c>
      <c r="F47" s="55"/>
      <c r="H47" s="64"/>
    </row>
    <row r="48" spans="1:8" ht="50" x14ac:dyDescent="0.3">
      <c r="A48" s="16" t="s">
        <v>2274</v>
      </c>
      <c r="B48" s="200" t="s">
        <v>144</v>
      </c>
      <c r="C48" s="2" t="s">
        <v>144</v>
      </c>
      <c r="D48" s="200" t="s">
        <v>144</v>
      </c>
      <c r="E48" s="16" t="s">
        <v>2275</v>
      </c>
      <c r="F48" s="55"/>
      <c r="H48" s="64"/>
    </row>
    <row r="49" spans="1:8" x14ac:dyDescent="0.3">
      <c r="A49" s="35" t="s">
        <v>2302</v>
      </c>
      <c r="B49" s="200" t="s">
        <v>144</v>
      </c>
      <c r="C49" s="2" t="s">
        <v>144</v>
      </c>
      <c r="D49" s="200" t="s">
        <v>144</v>
      </c>
      <c r="E49" s="16"/>
      <c r="F49" s="55"/>
      <c r="H49" s="64"/>
    </row>
    <row r="50" spans="1:8" ht="88.5" customHeight="1" x14ac:dyDescent="0.3">
      <c r="A50" s="16" t="s">
        <v>1972</v>
      </c>
      <c r="B50" s="200" t="s">
        <v>144</v>
      </c>
      <c r="C50" s="2" t="s">
        <v>144</v>
      </c>
      <c r="D50" s="200" t="s">
        <v>144</v>
      </c>
      <c r="E50" s="10" t="s">
        <v>179</v>
      </c>
      <c r="F50" s="55"/>
      <c r="H50" s="64" t="s">
        <v>2182</v>
      </c>
    </row>
    <row r="51" spans="1:8" x14ac:dyDescent="0.3">
      <c r="A51" s="16" t="s">
        <v>547</v>
      </c>
      <c r="B51" s="200" t="s">
        <v>144</v>
      </c>
      <c r="C51" s="2" t="s">
        <v>144</v>
      </c>
      <c r="D51" s="200" t="s">
        <v>144</v>
      </c>
      <c r="E51" s="11"/>
      <c r="F51" s="55"/>
      <c r="H51" s="64" t="s">
        <v>2182</v>
      </c>
    </row>
    <row r="52" spans="1:8" ht="37.5" x14ac:dyDescent="0.3">
      <c r="A52" s="16" t="s">
        <v>2340</v>
      </c>
      <c r="B52" s="200" t="s">
        <v>144</v>
      </c>
      <c r="C52" s="2" t="s">
        <v>144</v>
      </c>
      <c r="D52" s="200" t="s">
        <v>144</v>
      </c>
      <c r="E52" s="10" t="s">
        <v>180</v>
      </c>
      <c r="F52" s="55"/>
      <c r="H52" s="64" t="s">
        <v>2182</v>
      </c>
    </row>
    <row r="53" spans="1:8" ht="62.5" x14ac:dyDescent="0.3">
      <c r="A53" s="16" t="s">
        <v>2341</v>
      </c>
      <c r="B53" s="200" t="s">
        <v>144</v>
      </c>
      <c r="C53" s="2" t="s">
        <v>144</v>
      </c>
      <c r="D53" s="200" t="s">
        <v>144</v>
      </c>
      <c r="E53" s="16" t="s">
        <v>1074</v>
      </c>
      <c r="F53" s="55"/>
      <c r="H53" s="64" t="s">
        <v>2182</v>
      </c>
    </row>
    <row r="54" spans="1:8" ht="50" x14ac:dyDescent="0.3">
      <c r="A54" s="16" t="s">
        <v>2742</v>
      </c>
      <c r="B54" s="200" t="s">
        <v>144</v>
      </c>
      <c r="C54" s="2" t="s">
        <v>144</v>
      </c>
      <c r="D54" s="200" t="s">
        <v>144</v>
      </c>
      <c r="E54" s="16" t="s">
        <v>2342</v>
      </c>
      <c r="F54" s="55"/>
      <c r="H54" s="64"/>
    </row>
    <row r="55" spans="1:8" ht="142.5" customHeight="1" x14ac:dyDescent="0.3">
      <c r="A55" s="16" t="s">
        <v>2962</v>
      </c>
      <c r="B55" s="200" t="s">
        <v>800</v>
      </c>
      <c r="C55" s="2" t="s">
        <v>646</v>
      </c>
      <c r="D55" s="200"/>
      <c r="E55" s="16" t="s">
        <v>2342</v>
      </c>
      <c r="F55" s="55"/>
      <c r="G55" s="60" t="s">
        <v>993</v>
      </c>
      <c r="H55" s="64"/>
    </row>
    <row r="56" spans="1:8" x14ac:dyDescent="0.3">
      <c r="A56" s="16" t="s">
        <v>2743</v>
      </c>
      <c r="B56" s="200" t="s">
        <v>144</v>
      </c>
      <c r="C56" s="2" t="s">
        <v>144</v>
      </c>
      <c r="D56" s="200" t="s">
        <v>144</v>
      </c>
      <c r="E56" s="10" t="s">
        <v>181</v>
      </c>
      <c r="F56" s="55"/>
      <c r="H56" s="64" t="s">
        <v>2182</v>
      </c>
    </row>
    <row r="57" spans="1:8" ht="37.5" x14ac:dyDescent="0.3">
      <c r="A57" s="79" t="s">
        <v>1394</v>
      </c>
      <c r="B57" s="200" t="s">
        <v>144</v>
      </c>
      <c r="C57" s="2" t="s">
        <v>144</v>
      </c>
      <c r="D57" s="200" t="s">
        <v>144</v>
      </c>
      <c r="E57" s="11"/>
      <c r="F57" s="55"/>
      <c r="H57" s="64" t="s">
        <v>2182</v>
      </c>
    </row>
    <row r="58" spans="1:8" ht="25" x14ac:dyDescent="0.3">
      <c r="A58" s="79" t="s">
        <v>1395</v>
      </c>
      <c r="B58" s="200" t="s">
        <v>144</v>
      </c>
      <c r="C58" s="2" t="s">
        <v>144</v>
      </c>
      <c r="D58" s="200" t="s">
        <v>144</v>
      </c>
      <c r="E58" s="11"/>
      <c r="F58" s="55"/>
      <c r="H58" s="64" t="s">
        <v>2182</v>
      </c>
    </row>
    <row r="59" spans="1:8" ht="25" x14ac:dyDescent="0.3">
      <c r="A59" s="79" t="s">
        <v>1075</v>
      </c>
      <c r="B59" s="200" t="s">
        <v>144</v>
      </c>
      <c r="C59" s="2" t="s">
        <v>144</v>
      </c>
      <c r="D59" s="200" t="s">
        <v>144</v>
      </c>
      <c r="E59" s="11"/>
      <c r="F59" s="55"/>
      <c r="H59" s="64" t="s">
        <v>2182</v>
      </c>
    </row>
    <row r="60" spans="1:8" ht="56.15" customHeight="1" x14ac:dyDescent="0.3">
      <c r="A60" s="79" t="s">
        <v>2963</v>
      </c>
      <c r="B60" s="200" t="s">
        <v>144</v>
      </c>
      <c r="C60" s="2" t="s">
        <v>144</v>
      </c>
      <c r="D60" s="200" t="s">
        <v>144</v>
      </c>
      <c r="E60" s="11"/>
      <c r="F60" s="55"/>
      <c r="G60" s="60" t="s">
        <v>993</v>
      </c>
      <c r="H60" s="64"/>
    </row>
    <row r="61" spans="1:8" ht="37.5" x14ac:dyDescent="0.3">
      <c r="A61" s="16" t="s">
        <v>1973</v>
      </c>
      <c r="B61" s="200" t="s">
        <v>144</v>
      </c>
      <c r="C61" s="2" t="s">
        <v>144</v>
      </c>
      <c r="D61" s="200" t="s">
        <v>144</v>
      </c>
      <c r="E61" s="10" t="s">
        <v>182</v>
      </c>
      <c r="F61" s="55"/>
      <c r="H61" s="64" t="s">
        <v>2182</v>
      </c>
    </row>
    <row r="62" spans="1:8" ht="69.650000000000006" customHeight="1" x14ac:dyDescent="0.3">
      <c r="A62" s="16" t="s">
        <v>2964</v>
      </c>
      <c r="B62" s="200" t="s">
        <v>144</v>
      </c>
      <c r="C62" s="2" t="s">
        <v>144</v>
      </c>
      <c r="D62" s="200" t="s">
        <v>144</v>
      </c>
      <c r="E62" s="16" t="s">
        <v>182</v>
      </c>
      <c r="F62" s="55"/>
      <c r="G62" s="60" t="s">
        <v>993</v>
      </c>
      <c r="H62" s="64"/>
    </row>
    <row r="63" spans="1:8" ht="37.5" x14ac:dyDescent="0.3">
      <c r="A63" s="16" t="s">
        <v>2379</v>
      </c>
      <c r="B63" s="200" t="s">
        <v>144</v>
      </c>
      <c r="C63" s="2" t="s">
        <v>144</v>
      </c>
      <c r="D63" s="200" t="s">
        <v>144</v>
      </c>
      <c r="E63" s="10"/>
      <c r="F63" s="55"/>
      <c r="H63" s="64"/>
    </row>
    <row r="64" spans="1:8" x14ac:dyDescent="0.3">
      <c r="A64" s="85" t="s">
        <v>597</v>
      </c>
      <c r="B64" s="200" t="s">
        <v>646</v>
      </c>
      <c r="C64" s="2" t="s">
        <v>646</v>
      </c>
      <c r="D64" s="200" t="s">
        <v>646</v>
      </c>
      <c r="E64" s="11"/>
      <c r="F64" s="55"/>
      <c r="H64" s="64" t="s">
        <v>2182</v>
      </c>
    </row>
    <row r="65" spans="1:8" ht="25" x14ac:dyDescent="0.3">
      <c r="A65" s="16" t="s">
        <v>2744</v>
      </c>
      <c r="B65" s="200" t="s">
        <v>646</v>
      </c>
      <c r="C65" s="2" t="s">
        <v>646</v>
      </c>
      <c r="D65" s="200" t="s">
        <v>646</v>
      </c>
      <c r="E65" s="10" t="s">
        <v>184</v>
      </c>
      <c r="F65" s="55"/>
      <c r="H65" s="64" t="s">
        <v>2182</v>
      </c>
    </row>
    <row r="66" spans="1:8" ht="37.5" x14ac:dyDescent="0.3">
      <c r="A66" s="16" t="s">
        <v>1974</v>
      </c>
      <c r="B66" s="200" t="s">
        <v>646</v>
      </c>
      <c r="C66" s="2" t="s">
        <v>646</v>
      </c>
      <c r="D66" s="200" t="s">
        <v>646</v>
      </c>
      <c r="E66" s="11"/>
      <c r="F66" s="55"/>
      <c r="H66" s="64" t="s">
        <v>2182</v>
      </c>
    </row>
    <row r="67" spans="1:8" ht="39" customHeight="1" x14ac:dyDescent="0.3">
      <c r="A67" s="10" t="s">
        <v>165</v>
      </c>
      <c r="B67" s="200" t="s">
        <v>646</v>
      </c>
      <c r="C67" s="2" t="s">
        <v>646</v>
      </c>
      <c r="D67" s="200" t="s">
        <v>646</v>
      </c>
      <c r="E67" s="11"/>
      <c r="F67" s="55"/>
      <c r="H67" s="64" t="s">
        <v>2182</v>
      </c>
    </row>
    <row r="68" spans="1:8" x14ac:dyDescent="0.3">
      <c r="A68" s="85" t="s">
        <v>882</v>
      </c>
      <c r="B68" s="200" t="s">
        <v>646</v>
      </c>
      <c r="C68" s="2" t="s">
        <v>646</v>
      </c>
      <c r="D68" s="200" t="s">
        <v>646</v>
      </c>
      <c r="E68" s="10" t="s">
        <v>185</v>
      </c>
      <c r="F68" s="55"/>
      <c r="H68" s="64" t="s">
        <v>2182</v>
      </c>
    </row>
    <row r="69" spans="1:8" ht="37.5" x14ac:dyDescent="0.3">
      <c r="A69" s="79" t="s">
        <v>1975</v>
      </c>
      <c r="B69" s="200" t="s">
        <v>646</v>
      </c>
      <c r="C69" s="2" t="s">
        <v>646</v>
      </c>
      <c r="D69" s="200"/>
      <c r="E69" s="11"/>
      <c r="F69" s="55"/>
      <c r="H69" s="64" t="s">
        <v>2182</v>
      </c>
    </row>
    <row r="70" spans="1:8" ht="50" x14ac:dyDescent="0.3">
      <c r="A70" s="79" t="s">
        <v>1976</v>
      </c>
      <c r="B70" s="200" t="s">
        <v>646</v>
      </c>
      <c r="C70" s="2" t="s">
        <v>646</v>
      </c>
      <c r="D70" s="200" t="s">
        <v>646</v>
      </c>
      <c r="E70" s="11"/>
      <c r="F70" s="55"/>
      <c r="H70" s="64" t="s">
        <v>2182</v>
      </c>
    </row>
    <row r="71" spans="1:8" ht="37.5" x14ac:dyDescent="0.3">
      <c r="A71" s="16" t="s">
        <v>2343</v>
      </c>
      <c r="B71" s="200" t="s">
        <v>646</v>
      </c>
      <c r="C71" s="2" t="s">
        <v>646</v>
      </c>
      <c r="D71" s="200" t="s">
        <v>646</v>
      </c>
      <c r="E71" s="2" t="s">
        <v>537</v>
      </c>
      <c r="F71" s="55"/>
      <c r="H71" s="64" t="s">
        <v>2182</v>
      </c>
    </row>
    <row r="72" spans="1:8" ht="25" x14ac:dyDescent="0.3">
      <c r="A72" s="16" t="s">
        <v>2537</v>
      </c>
      <c r="B72" s="200" t="s">
        <v>646</v>
      </c>
      <c r="C72" s="2" t="s">
        <v>646</v>
      </c>
      <c r="D72" s="200" t="s">
        <v>646</v>
      </c>
      <c r="E72" s="2" t="s">
        <v>2538</v>
      </c>
      <c r="F72" s="55"/>
      <c r="H72" s="64"/>
    </row>
    <row r="73" spans="1:8" ht="37.5" x14ac:dyDescent="0.3">
      <c r="A73" s="16" t="s">
        <v>2745</v>
      </c>
      <c r="B73" s="200" t="s">
        <v>646</v>
      </c>
      <c r="C73" s="2" t="s">
        <v>646</v>
      </c>
      <c r="D73" s="200" t="s">
        <v>646</v>
      </c>
      <c r="E73" s="2" t="s">
        <v>183</v>
      </c>
      <c r="F73" s="55"/>
      <c r="H73" s="64" t="s">
        <v>2182</v>
      </c>
    </row>
    <row r="74" spans="1:8" x14ac:dyDescent="0.3">
      <c r="A74" s="85" t="s">
        <v>1654</v>
      </c>
      <c r="B74" s="200" t="s">
        <v>646</v>
      </c>
      <c r="C74" s="2" t="s">
        <v>646</v>
      </c>
      <c r="D74" s="200" t="s">
        <v>646</v>
      </c>
      <c r="E74" s="11"/>
      <c r="F74" s="55"/>
      <c r="H74" s="64" t="s">
        <v>2182</v>
      </c>
    </row>
    <row r="75" spans="1:8" ht="62.5" x14ac:dyDescent="0.3">
      <c r="A75" s="16" t="s">
        <v>1076</v>
      </c>
      <c r="B75" s="200" t="s">
        <v>646</v>
      </c>
      <c r="C75" s="2" t="s">
        <v>646</v>
      </c>
      <c r="D75" s="200" t="s">
        <v>646</v>
      </c>
      <c r="E75" s="16" t="s">
        <v>1396</v>
      </c>
      <c r="F75" s="55"/>
      <c r="H75" s="64" t="s">
        <v>2182</v>
      </c>
    </row>
    <row r="76" spans="1:8" x14ac:dyDescent="0.3">
      <c r="A76" s="16" t="s">
        <v>1077</v>
      </c>
      <c r="B76" s="200" t="s">
        <v>646</v>
      </c>
      <c r="C76" s="2" t="s">
        <v>646</v>
      </c>
      <c r="D76" s="200" t="s">
        <v>646</v>
      </c>
      <c r="E76" s="16"/>
      <c r="F76" s="55"/>
      <c r="H76" s="64" t="s">
        <v>2182</v>
      </c>
    </row>
    <row r="77" spans="1:8" ht="25" x14ac:dyDescent="0.3">
      <c r="A77" s="16" t="s">
        <v>1397</v>
      </c>
      <c r="B77" s="200" t="s">
        <v>646</v>
      </c>
      <c r="C77" s="2" t="s">
        <v>646</v>
      </c>
      <c r="D77" s="200" t="s">
        <v>646</v>
      </c>
      <c r="E77" s="16" t="s">
        <v>1078</v>
      </c>
      <c r="F77" s="55"/>
      <c r="H77" s="64" t="s">
        <v>2182</v>
      </c>
    </row>
    <row r="78" spans="1:8" ht="50" x14ac:dyDescent="0.3">
      <c r="A78" s="79" t="s">
        <v>1398</v>
      </c>
      <c r="B78" s="200" t="s">
        <v>646</v>
      </c>
      <c r="C78" s="2" t="s">
        <v>646</v>
      </c>
      <c r="D78" s="200" t="s">
        <v>646</v>
      </c>
      <c r="E78" s="16" t="s">
        <v>1399</v>
      </c>
      <c r="F78" s="55"/>
      <c r="H78" s="64" t="s">
        <v>2182</v>
      </c>
    </row>
    <row r="79" spans="1:8" ht="37.5" x14ac:dyDescent="0.3">
      <c r="A79" s="16" t="s">
        <v>1977</v>
      </c>
      <c r="B79" s="200" t="s">
        <v>646</v>
      </c>
      <c r="C79" s="2" t="s">
        <v>646</v>
      </c>
      <c r="D79" s="200" t="s">
        <v>646</v>
      </c>
      <c r="E79" s="16" t="s">
        <v>1079</v>
      </c>
      <c r="F79" s="55"/>
      <c r="H79" s="64" t="s">
        <v>2182</v>
      </c>
    </row>
    <row r="80" spans="1:8" ht="25" x14ac:dyDescent="0.3">
      <c r="A80" s="16" t="s">
        <v>1400</v>
      </c>
      <c r="B80" s="200" t="s">
        <v>646</v>
      </c>
      <c r="C80" s="2" t="s">
        <v>646</v>
      </c>
      <c r="D80" s="200" t="s">
        <v>646</v>
      </c>
      <c r="E80" s="11" t="s">
        <v>186</v>
      </c>
      <c r="F80" s="55"/>
      <c r="H80" s="64" t="s">
        <v>2182</v>
      </c>
    </row>
    <row r="81" spans="1:10" ht="50" x14ac:dyDescent="0.3">
      <c r="A81" s="79" t="s">
        <v>2833</v>
      </c>
      <c r="B81" s="200" t="s">
        <v>646</v>
      </c>
      <c r="C81" s="2" t="s">
        <v>646</v>
      </c>
      <c r="D81" s="200"/>
      <c r="E81" s="10" t="s">
        <v>187</v>
      </c>
      <c r="F81" s="55"/>
      <c r="G81" s="95"/>
      <c r="H81" s="64" t="s">
        <v>2182</v>
      </c>
    </row>
    <row r="82" spans="1:10" x14ac:dyDescent="0.3">
      <c r="A82" s="79" t="s">
        <v>1982</v>
      </c>
      <c r="B82" s="200" t="s">
        <v>646</v>
      </c>
      <c r="C82" s="2"/>
      <c r="D82" s="200"/>
      <c r="E82" s="10" t="s">
        <v>188</v>
      </c>
      <c r="F82" s="55"/>
      <c r="H82" s="64" t="s">
        <v>2182</v>
      </c>
    </row>
    <row r="83" spans="1:10" x14ac:dyDescent="0.3">
      <c r="A83" s="79" t="s">
        <v>2834</v>
      </c>
      <c r="B83" s="200" t="s">
        <v>646</v>
      </c>
      <c r="C83" s="2" t="s">
        <v>646</v>
      </c>
      <c r="D83" s="200" t="s">
        <v>646</v>
      </c>
      <c r="E83" s="16" t="s">
        <v>1401</v>
      </c>
      <c r="F83" s="55"/>
      <c r="H83" s="64" t="s">
        <v>2182</v>
      </c>
    </row>
    <row r="84" spans="1:10" ht="25.5" x14ac:dyDescent="0.3">
      <c r="A84" s="16" t="s">
        <v>1978</v>
      </c>
      <c r="B84" s="200" t="s">
        <v>646</v>
      </c>
      <c r="C84" s="2" t="s">
        <v>646</v>
      </c>
      <c r="D84" s="200" t="s">
        <v>646</v>
      </c>
      <c r="E84" s="2"/>
      <c r="F84" s="55"/>
      <c r="G84" s="95"/>
      <c r="H84" s="64" t="s">
        <v>2182</v>
      </c>
    </row>
    <row r="85" spans="1:10" x14ac:dyDescent="0.3">
      <c r="A85" s="16" t="s">
        <v>1979</v>
      </c>
      <c r="B85" s="200" t="s">
        <v>646</v>
      </c>
      <c r="C85" s="2" t="s">
        <v>646</v>
      </c>
      <c r="D85" s="200" t="s">
        <v>646</v>
      </c>
      <c r="E85" s="2"/>
      <c r="F85" s="55"/>
      <c r="G85" s="95"/>
      <c r="H85" s="64"/>
    </row>
    <row r="86" spans="1:10" ht="25.5" x14ac:dyDescent="0.3">
      <c r="A86" s="16" t="s">
        <v>1980</v>
      </c>
      <c r="B86" s="200" t="s">
        <v>646</v>
      </c>
      <c r="C86" s="2" t="s">
        <v>646</v>
      </c>
      <c r="D86" s="200" t="s">
        <v>646</v>
      </c>
      <c r="E86" s="2" t="s">
        <v>609</v>
      </c>
      <c r="F86" s="55"/>
      <c r="H86" s="64" t="s">
        <v>2182</v>
      </c>
    </row>
    <row r="87" spans="1:10" ht="25" x14ac:dyDescent="0.3">
      <c r="A87" s="16" t="s">
        <v>1080</v>
      </c>
      <c r="B87" s="200" t="s">
        <v>646</v>
      </c>
      <c r="C87" s="2" t="s">
        <v>646</v>
      </c>
      <c r="D87" s="200" t="s">
        <v>646</v>
      </c>
      <c r="E87" s="1" t="s">
        <v>187</v>
      </c>
      <c r="F87" s="55"/>
      <c r="H87" s="64" t="s">
        <v>2182</v>
      </c>
    </row>
    <row r="88" spans="1:10" x14ac:dyDescent="0.3">
      <c r="A88" s="10" t="s">
        <v>599</v>
      </c>
      <c r="B88" s="200" t="s">
        <v>145</v>
      </c>
      <c r="C88" s="2" t="s">
        <v>145</v>
      </c>
      <c r="D88" s="200" t="s">
        <v>145</v>
      </c>
      <c r="E88" s="11"/>
      <c r="F88" s="55"/>
      <c r="G88" s="95"/>
      <c r="H88" s="64" t="s">
        <v>2182</v>
      </c>
    </row>
    <row r="89" spans="1:10" x14ac:dyDescent="0.3">
      <c r="A89" s="16" t="s">
        <v>1655</v>
      </c>
      <c r="B89" s="200" t="s">
        <v>145</v>
      </c>
      <c r="C89" s="2" t="s">
        <v>145</v>
      </c>
      <c r="D89" s="200" t="s">
        <v>145</v>
      </c>
      <c r="E89" s="11"/>
      <c r="F89" s="55"/>
      <c r="H89" s="64" t="s">
        <v>2182</v>
      </c>
    </row>
    <row r="90" spans="1:10" s="46" customFormat="1" x14ac:dyDescent="0.3">
      <c r="A90" s="34" t="s">
        <v>1656</v>
      </c>
      <c r="B90" s="200" t="s">
        <v>144</v>
      </c>
      <c r="C90" s="2" t="s">
        <v>144</v>
      </c>
      <c r="D90" s="200" t="s">
        <v>144</v>
      </c>
      <c r="E90" s="36"/>
      <c r="F90" s="55"/>
      <c r="G90" s="60"/>
      <c r="H90" s="64" t="s">
        <v>2182</v>
      </c>
      <c r="I90" s="60"/>
      <c r="J90" s="60"/>
    </row>
    <row r="91" spans="1:10" s="46" customFormat="1" x14ac:dyDescent="0.3">
      <c r="A91" s="119" t="s">
        <v>546</v>
      </c>
      <c r="B91" s="200" t="s">
        <v>144</v>
      </c>
      <c r="C91" s="2" t="s">
        <v>144</v>
      </c>
      <c r="D91" s="200" t="s">
        <v>144</v>
      </c>
      <c r="E91" s="36"/>
      <c r="F91" s="55"/>
      <c r="G91" s="60"/>
      <c r="H91" s="64"/>
      <c r="I91" s="60"/>
      <c r="J91" s="60"/>
    </row>
    <row r="92" spans="1:10" ht="37.5" x14ac:dyDescent="0.3">
      <c r="A92" s="16" t="s">
        <v>1981</v>
      </c>
      <c r="B92" s="200" t="s">
        <v>144</v>
      </c>
      <c r="C92" s="2" t="s">
        <v>144</v>
      </c>
      <c r="D92" s="200" t="s">
        <v>144</v>
      </c>
      <c r="E92" s="10" t="s">
        <v>189</v>
      </c>
      <c r="F92" s="55"/>
      <c r="H92" s="64" t="s">
        <v>2182</v>
      </c>
    </row>
    <row r="93" spans="1:10" ht="42" customHeight="1" x14ac:dyDescent="0.3">
      <c r="A93" s="16" t="s">
        <v>2539</v>
      </c>
      <c r="B93" s="200" t="s">
        <v>144</v>
      </c>
      <c r="C93" s="2" t="s">
        <v>144</v>
      </c>
      <c r="D93" s="200" t="s">
        <v>144</v>
      </c>
      <c r="E93" s="11"/>
      <c r="F93" s="55"/>
      <c r="H93" s="64" t="s">
        <v>2182</v>
      </c>
    </row>
    <row r="94" spans="1:10" x14ac:dyDescent="0.3">
      <c r="A94" s="10" t="s">
        <v>549</v>
      </c>
      <c r="B94" s="200" t="s">
        <v>144</v>
      </c>
      <c r="C94" s="2" t="s">
        <v>144</v>
      </c>
      <c r="D94" s="200" t="s">
        <v>144</v>
      </c>
      <c r="E94" s="11"/>
      <c r="F94" s="55"/>
      <c r="H94" s="64" t="s">
        <v>2182</v>
      </c>
    </row>
    <row r="95" spans="1:10" x14ac:dyDescent="0.3">
      <c r="A95" s="10" t="s">
        <v>302</v>
      </c>
      <c r="B95" s="200" t="s">
        <v>144</v>
      </c>
      <c r="C95" s="2" t="s">
        <v>144</v>
      </c>
      <c r="D95" s="200" t="s">
        <v>144</v>
      </c>
      <c r="E95" s="11"/>
      <c r="F95" s="55"/>
      <c r="G95" s="95"/>
      <c r="H95" s="64" t="s">
        <v>2182</v>
      </c>
    </row>
    <row r="96" spans="1:10" x14ac:dyDescent="0.3">
      <c r="A96" s="16" t="s">
        <v>175</v>
      </c>
      <c r="B96" s="200" t="s">
        <v>144</v>
      </c>
      <c r="C96" s="2" t="s">
        <v>144</v>
      </c>
      <c r="D96" s="200" t="s">
        <v>144</v>
      </c>
      <c r="E96" s="10" t="s">
        <v>190</v>
      </c>
      <c r="F96" s="55"/>
      <c r="H96" s="64" t="s">
        <v>2182</v>
      </c>
    </row>
    <row r="97" spans="1:8" ht="25" x14ac:dyDescent="0.3">
      <c r="A97" s="16" t="s">
        <v>1778</v>
      </c>
      <c r="B97" s="200" t="s">
        <v>144</v>
      </c>
      <c r="C97" s="2" t="s">
        <v>144</v>
      </c>
      <c r="D97" s="200" t="s">
        <v>144</v>
      </c>
      <c r="E97" s="11"/>
      <c r="F97" s="55"/>
      <c r="H97" s="64" t="s">
        <v>2182</v>
      </c>
    </row>
    <row r="98" spans="1:8" ht="25" x14ac:dyDescent="0.3">
      <c r="A98" s="16" t="s">
        <v>1779</v>
      </c>
      <c r="B98" s="200" t="s">
        <v>144</v>
      </c>
      <c r="C98" s="2" t="s">
        <v>144</v>
      </c>
      <c r="D98" s="200" t="s">
        <v>144</v>
      </c>
      <c r="E98" s="11"/>
      <c r="F98" s="55"/>
      <c r="H98" s="64" t="s">
        <v>2182</v>
      </c>
    </row>
    <row r="99" spans="1:8" ht="28.5" customHeight="1" x14ac:dyDescent="0.3">
      <c r="A99" s="16" t="s">
        <v>1780</v>
      </c>
      <c r="B99" s="200" t="s">
        <v>144</v>
      </c>
      <c r="C99" s="2" t="s">
        <v>144</v>
      </c>
      <c r="D99" s="200" t="s">
        <v>144</v>
      </c>
      <c r="E99" s="11"/>
      <c r="F99" s="55"/>
      <c r="H99" s="64" t="s">
        <v>2182</v>
      </c>
    </row>
    <row r="100" spans="1:8" ht="27" customHeight="1" x14ac:dyDescent="0.3">
      <c r="A100" s="16" t="s">
        <v>1983</v>
      </c>
      <c r="B100" s="200" t="s">
        <v>144</v>
      </c>
      <c r="C100" s="2" t="s">
        <v>144</v>
      </c>
      <c r="D100" s="200" t="s">
        <v>144</v>
      </c>
      <c r="E100" s="16" t="s">
        <v>1081</v>
      </c>
      <c r="F100" s="55"/>
      <c r="H100" s="64" t="s">
        <v>2182</v>
      </c>
    </row>
    <row r="101" spans="1:8" x14ac:dyDescent="0.3">
      <c r="A101" s="16" t="s">
        <v>1082</v>
      </c>
      <c r="B101" s="200" t="s">
        <v>646</v>
      </c>
      <c r="C101" s="2" t="s">
        <v>646</v>
      </c>
      <c r="D101" s="200" t="s">
        <v>646</v>
      </c>
      <c r="E101" s="11"/>
      <c r="F101" s="55"/>
      <c r="H101" s="64" t="s">
        <v>2182</v>
      </c>
    </row>
    <row r="102" spans="1:8" x14ac:dyDescent="0.3">
      <c r="A102" s="35" t="s">
        <v>1657</v>
      </c>
      <c r="B102" s="200" t="s">
        <v>646</v>
      </c>
      <c r="C102" s="2" t="s">
        <v>646</v>
      </c>
      <c r="D102" s="200" t="s">
        <v>646</v>
      </c>
      <c r="E102" s="10"/>
      <c r="F102" s="55"/>
      <c r="H102" s="64" t="s">
        <v>2182</v>
      </c>
    </row>
    <row r="103" spans="1:8" ht="75" x14ac:dyDescent="0.3">
      <c r="A103" s="16" t="s">
        <v>2746</v>
      </c>
      <c r="B103" s="200" t="s">
        <v>646</v>
      </c>
      <c r="C103" s="2" t="s">
        <v>646</v>
      </c>
      <c r="D103" s="200" t="s">
        <v>646</v>
      </c>
      <c r="E103" s="2" t="s">
        <v>191</v>
      </c>
      <c r="F103" s="55"/>
      <c r="H103" s="64" t="s">
        <v>2182</v>
      </c>
    </row>
    <row r="104" spans="1:8" ht="37.5" x14ac:dyDescent="0.3">
      <c r="A104" s="16" t="s">
        <v>2747</v>
      </c>
      <c r="B104" s="200" t="s">
        <v>646</v>
      </c>
      <c r="C104" s="2" t="s">
        <v>646</v>
      </c>
      <c r="D104" s="200" t="s">
        <v>646</v>
      </c>
      <c r="E104" s="16" t="s">
        <v>191</v>
      </c>
      <c r="F104" s="55"/>
      <c r="G104" s="95"/>
      <c r="H104" s="64" t="s">
        <v>2182</v>
      </c>
    </row>
    <row r="105" spans="1:8" ht="37.5" x14ac:dyDescent="0.3">
      <c r="A105" s="16" t="s">
        <v>1083</v>
      </c>
      <c r="B105" s="200" t="s">
        <v>646</v>
      </c>
      <c r="C105" s="2" t="s">
        <v>646</v>
      </c>
      <c r="D105" s="200" t="s">
        <v>646</v>
      </c>
      <c r="E105" s="11"/>
      <c r="F105" s="55"/>
      <c r="H105" s="64" t="s">
        <v>2182</v>
      </c>
    </row>
    <row r="106" spans="1:8" x14ac:dyDescent="0.3">
      <c r="A106" s="35" t="s">
        <v>1781</v>
      </c>
      <c r="B106" s="200" t="s">
        <v>646</v>
      </c>
      <c r="C106" s="2" t="s">
        <v>646</v>
      </c>
      <c r="D106" s="200" t="s">
        <v>646</v>
      </c>
      <c r="E106" s="11"/>
      <c r="F106" s="55"/>
      <c r="H106" s="64" t="s">
        <v>2182</v>
      </c>
    </row>
    <row r="107" spans="1:8" ht="50" x14ac:dyDescent="0.3">
      <c r="A107" s="16" t="s">
        <v>2748</v>
      </c>
      <c r="B107" s="200" t="s">
        <v>646</v>
      </c>
      <c r="C107" s="2" t="s">
        <v>646</v>
      </c>
      <c r="D107" s="200" t="s">
        <v>646</v>
      </c>
      <c r="E107" s="16" t="s">
        <v>166</v>
      </c>
      <c r="F107" s="55"/>
      <c r="G107" s="95"/>
      <c r="H107" s="64" t="s">
        <v>2182</v>
      </c>
    </row>
    <row r="108" spans="1:8" x14ac:dyDescent="0.3">
      <c r="A108" s="10" t="s">
        <v>599</v>
      </c>
      <c r="B108" s="200" t="s">
        <v>145</v>
      </c>
      <c r="C108" s="2" t="s">
        <v>145</v>
      </c>
      <c r="D108" s="200" t="s">
        <v>145</v>
      </c>
      <c r="E108" s="11"/>
      <c r="F108" s="55"/>
      <c r="H108" s="64" t="s">
        <v>2182</v>
      </c>
    </row>
    <row r="109" spans="1:8" ht="37.5" x14ac:dyDescent="0.3">
      <c r="A109" s="17" t="s">
        <v>1084</v>
      </c>
      <c r="B109" s="209" t="s">
        <v>145</v>
      </c>
      <c r="C109" s="4" t="s">
        <v>145</v>
      </c>
      <c r="D109" s="209" t="s">
        <v>145</v>
      </c>
      <c r="E109" s="13"/>
      <c r="F109" s="55"/>
      <c r="H109" s="64" t="s">
        <v>2182</v>
      </c>
    </row>
  </sheetData>
  <sheetProtection algorithmName="SHA-512" hashValue="OsLXO88gA4KLxKLtT0r1LNlRzqyxUJr1Hk/vJDDu/6ac1xHwOr5V/2foNghtAZy7GcAbnHoZtoumsa4Te86aKA==" saltValue="c9mEPZ12rzTDemesm1j4kA==" spinCount="100000" sheet="1" objects="1" scenarios="1" autoFilter="0"/>
  <autoFilter ref="B5:G109" xr:uid="{00000000-0009-0000-0000-00001F000000}"/>
  <customSheetViews>
    <customSheetView guid="{33D191C9-AE75-45EC-B301-B583C3381734}" showGridLines="0" fitToPage="1" printArea="1" showAutoFilter="1">
      <pane ySplit="5" topLeftCell="A96" activePane="bottomLeft" state="frozen"/>
      <selection pane="bottomLeft"/>
      <pageMargins left="0.75" right="0.75" top="1" bottom="1" header="0.5" footer="0.5"/>
      <pageSetup paperSize="9" scale="63" fitToHeight="100" orientation="landscape" r:id="rId1"/>
      <headerFooter alignWithMargins="0"/>
      <autoFilter ref="B1:G1" xr:uid="{09D79562-48B0-4823-90FC-CFEE8365F83B}"/>
    </customSheetView>
  </customSheetViews>
  <mergeCells count="1">
    <mergeCell ref="B4:F4"/>
  </mergeCells>
  <phoneticPr fontId="2" type="noConversion"/>
  <dataValidations count="1">
    <dataValidation type="list" allowBlank="1" showInputMessage="1" showErrorMessage="1" sqref="F6:F109" xr:uid="{00000000-0002-0000-1F00-000000000000}">
      <formula1>"Akkoord,Opmerking,N.v.t.,,"</formula1>
    </dataValidation>
  </dataValidations>
  <hyperlinks>
    <hyperlink ref="A5" location="'Financ.instrum.hedge accounting'!A2" display="Financiële instrumenten,hedge accounting" xr:uid="{00000000-0004-0000-1F00-000000000000}"/>
    <hyperlink ref="A6" location="'Financ.instrum.hedge accounting'!A3" display="ALGEMEEN" xr:uid="{00000000-0004-0000-1F00-000001000000}"/>
    <hyperlink ref="A90" location="'Financ.instrum.hedge accounting'!A83" display="Hedge accounting" xr:uid="{00000000-0004-0000-1F00-000002000000}"/>
  </hyperlinks>
  <pageMargins left="0.75" right="0.75" top="1" bottom="1" header="0.5" footer="0.5"/>
  <pageSetup paperSize="9" scale="63"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3557"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Blad38">
    <tabColor rgb="FF951B81"/>
  </sheetPr>
  <dimension ref="A1:J35"/>
  <sheetViews>
    <sheetView workbookViewId="0">
      <pane ySplit="5" topLeftCell="A6" activePane="bottomLeft" state="frozen"/>
      <selection pane="bottomLeft" activeCell="A6" sqref="A6"/>
    </sheetView>
  </sheetViews>
  <sheetFormatPr defaultColWidth="9.1796875" defaultRowHeight="13" x14ac:dyDescent="0.25"/>
  <cols>
    <col min="1" max="1" width="60.7265625" style="5" customWidth="1"/>
    <col min="2" max="2" width="9" style="1" customWidth="1"/>
    <col min="3" max="3" width="10.81640625" style="1" customWidth="1"/>
    <col min="4" max="4" width="8.453125" style="1" customWidth="1"/>
    <col min="5" max="5" width="10.7265625" style="6" customWidth="1"/>
    <col min="6" max="6" width="10.7265625" style="58" customWidth="1"/>
    <col min="7" max="7" width="80.4531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196" t="s">
        <v>2851</v>
      </c>
      <c r="B5" s="228" t="s">
        <v>642</v>
      </c>
      <c r="C5" s="228" t="s">
        <v>643</v>
      </c>
      <c r="D5" s="228" t="s">
        <v>644</v>
      </c>
      <c r="E5" s="198" t="s">
        <v>645</v>
      </c>
      <c r="F5" s="197" t="s">
        <v>54</v>
      </c>
      <c r="G5" s="199" t="s">
        <v>2858</v>
      </c>
    </row>
    <row r="6" spans="1:10" x14ac:dyDescent="0.25">
      <c r="A6" s="35" t="s">
        <v>2813</v>
      </c>
      <c r="B6" s="208" t="s">
        <v>144</v>
      </c>
      <c r="C6" s="2" t="s">
        <v>144</v>
      </c>
      <c r="D6" s="208" t="s">
        <v>144</v>
      </c>
      <c r="E6" s="11"/>
      <c r="F6" s="55"/>
    </row>
    <row r="7" spans="1:10" x14ac:dyDescent="0.25">
      <c r="A7" s="16" t="s">
        <v>2814</v>
      </c>
      <c r="B7" s="208" t="s">
        <v>144</v>
      </c>
      <c r="C7" s="2" t="s">
        <v>144</v>
      </c>
      <c r="D7" s="208" t="s">
        <v>144</v>
      </c>
      <c r="E7" s="11"/>
      <c r="F7" s="55"/>
    </row>
    <row r="8" spans="1:10" ht="131.15" customHeight="1" x14ac:dyDescent="0.25">
      <c r="A8" s="16" t="s">
        <v>2965</v>
      </c>
      <c r="B8" s="208" t="s">
        <v>144</v>
      </c>
      <c r="C8" s="2" t="s">
        <v>144</v>
      </c>
      <c r="D8" s="208" t="s">
        <v>144</v>
      </c>
      <c r="E8" s="11"/>
      <c r="F8" s="55"/>
      <c r="G8" s="60" t="s">
        <v>1856</v>
      </c>
    </row>
    <row r="9" spans="1:10" x14ac:dyDescent="0.25">
      <c r="A9" s="16" t="s">
        <v>2815</v>
      </c>
      <c r="B9" s="208" t="s">
        <v>144</v>
      </c>
      <c r="C9" s="2" t="s">
        <v>144</v>
      </c>
      <c r="D9" s="208" t="s">
        <v>144</v>
      </c>
      <c r="E9" s="11"/>
      <c r="F9" s="55"/>
    </row>
    <row r="10" spans="1:10" ht="25" x14ac:dyDescent="0.25">
      <c r="A10" s="79" t="s">
        <v>2836</v>
      </c>
      <c r="B10" s="208" t="s">
        <v>144</v>
      </c>
      <c r="C10" s="2" t="s">
        <v>144</v>
      </c>
      <c r="D10" s="208" t="s">
        <v>144</v>
      </c>
      <c r="E10" s="11"/>
      <c r="F10" s="55"/>
    </row>
    <row r="11" spans="1:10" ht="25" x14ac:dyDescent="0.25">
      <c r="A11" s="79" t="s">
        <v>2837</v>
      </c>
      <c r="B11" s="208" t="s">
        <v>144</v>
      </c>
      <c r="C11" s="2" t="s">
        <v>144</v>
      </c>
      <c r="D11" s="208" t="s">
        <v>144</v>
      </c>
      <c r="E11" s="11"/>
      <c r="F11" s="55"/>
    </row>
    <row r="12" spans="1:10" ht="25" x14ac:dyDescent="0.25">
      <c r="A12" s="79" t="s">
        <v>2838</v>
      </c>
      <c r="B12" s="208" t="s">
        <v>144</v>
      </c>
      <c r="C12" s="2" t="s">
        <v>144</v>
      </c>
      <c r="D12" s="208" t="s">
        <v>144</v>
      </c>
      <c r="E12" s="11"/>
      <c r="F12" s="55"/>
    </row>
    <row r="13" spans="1:10" ht="25" x14ac:dyDescent="0.25">
      <c r="A13" s="79" t="s">
        <v>2839</v>
      </c>
      <c r="B13" s="208" t="s">
        <v>144</v>
      </c>
      <c r="C13" s="2" t="s">
        <v>144</v>
      </c>
      <c r="D13" s="208" t="s">
        <v>144</v>
      </c>
      <c r="E13" s="11"/>
      <c r="F13" s="55"/>
    </row>
    <row r="14" spans="1:10" ht="37.5" x14ac:dyDescent="0.25">
      <c r="A14" s="16" t="s">
        <v>2816</v>
      </c>
      <c r="B14" s="208" t="s">
        <v>144</v>
      </c>
      <c r="C14" s="2" t="s">
        <v>144</v>
      </c>
      <c r="D14" s="208" t="s">
        <v>144</v>
      </c>
      <c r="E14" s="11"/>
      <c r="F14" s="55"/>
    </row>
    <row r="15" spans="1:10" ht="37.5" x14ac:dyDescent="0.25">
      <c r="A15" s="16" t="s">
        <v>2817</v>
      </c>
      <c r="B15" s="208" t="s">
        <v>144</v>
      </c>
      <c r="C15" s="2" t="s">
        <v>144</v>
      </c>
      <c r="D15" s="208" t="s">
        <v>144</v>
      </c>
      <c r="E15" s="11"/>
      <c r="F15" s="55"/>
    </row>
    <row r="16" spans="1:10" ht="37.5" x14ac:dyDescent="0.25">
      <c r="A16" s="79" t="s">
        <v>2840</v>
      </c>
      <c r="B16" s="208" t="s">
        <v>144</v>
      </c>
      <c r="C16" s="2" t="s">
        <v>144</v>
      </c>
      <c r="D16" s="208" t="s">
        <v>144</v>
      </c>
      <c r="E16" s="11"/>
      <c r="F16" s="55"/>
    </row>
    <row r="17" spans="1:7" ht="37.5" x14ac:dyDescent="0.25">
      <c r="A17" s="79" t="s">
        <v>2841</v>
      </c>
      <c r="B17" s="208" t="s">
        <v>144</v>
      </c>
      <c r="C17" s="2" t="s">
        <v>144</v>
      </c>
      <c r="D17" s="208" t="s">
        <v>144</v>
      </c>
      <c r="E17" s="11"/>
      <c r="F17" s="55"/>
    </row>
    <row r="18" spans="1:7" ht="37.5" x14ac:dyDescent="0.25">
      <c r="A18" s="79" t="s">
        <v>2842</v>
      </c>
      <c r="B18" s="208" t="s">
        <v>144</v>
      </c>
      <c r="C18" s="2" t="s">
        <v>144</v>
      </c>
      <c r="D18" s="208" t="s">
        <v>144</v>
      </c>
      <c r="E18" s="11"/>
      <c r="F18" s="55"/>
    </row>
    <row r="19" spans="1:7" ht="17.5" customHeight="1" x14ac:dyDescent="0.25">
      <c r="A19" s="16" t="s">
        <v>2966</v>
      </c>
      <c r="B19" s="208" t="s">
        <v>144</v>
      </c>
      <c r="C19" s="2" t="s">
        <v>144</v>
      </c>
      <c r="D19" s="208" t="s">
        <v>144</v>
      </c>
      <c r="E19" s="11"/>
      <c r="F19" s="55"/>
      <c r="G19" s="60" t="s">
        <v>1856</v>
      </c>
    </row>
    <row r="20" spans="1:7" ht="67" customHeight="1" x14ac:dyDescent="0.25">
      <c r="A20" s="16" t="s">
        <v>2984</v>
      </c>
      <c r="B20" s="208" t="s">
        <v>144</v>
      </c>
      <c r="C20" s="2" t="s">
        <v>144</v>
      </c>
      <c r="D20" s="208" t="s">
        <v>144</v>
      </c>
      <c r="E20" s="11"/>
      <c r="F20" s="55"/>
      <c r="G20" s="60" t="s">
        <v>993</v>
      </c>
    </row>
    <row r="21" spans="1:7" x14ac:dyDescent="0.25">
      <c r="A21" s="16" t="s">
        <v>2818</v>
      </c>
      <c r="B21" s="208" t="s">
        <v>144</v>
      </c>
      <c r="C21" s="2" t="s">
        <v>144</v>
      </c>
      <c r="D21" s="208" t="s">
        <v>144</v>
      </c>
      <c r="E21" s="11"/>
      <c r="F21" s="55"/>
    </row>
    <row r="22" spans="1:7" x14ac:dyDescent="0.25">
      <c r="A22" s="16" t="s">
        <v>2819</v>
      </c>
      <c r="B22" s="208" t="s">
        <v>144</v>
      </c>
      <c r="C22" s="2" t="s">
        <v>144</v>
      </c>
      <c r="D22" s="208" t="s">
        <v>144</v>
      </c>
      <c r="E22" s="11"/>
      <c r="F22" s="55"/>
    </row>
    <row r="23" spans="1:7" x14ac:dyDescent="0.25">
      <c r="A23" s="16" t="s">
        <v>2820</v>
      </c>
      <c r="B23" s="208" t="s">
        <v>144</v>
      </c>
      <c r="C23" s="2" t="s">
        <v>144</v>
      </c>
      <c r="D23" s="208" t="s">
        <v>144</v>
      </c>
      <c r="E23" s="11"/>
      <c r="F23" s="55"/>
    </row>
    <row r="24" spans="1:7" x14ac:dyDescent="0.25">
      <c r="A24" s="16" t="s">
        <v>2821</v>
      </c>
      <c r="B24" s="208" t="s">
        <v>144</v>
      </c>
      <c r="C24" s="2" t="s">
        <v>144</v>
      </c>
      <c r="D24" s="208" t="s">
        <v>144</v>
      </c>
      <c r="E24" s="11"/>
      <c r="F24" s="55"/>
    </row>
    <row r="25" spans="1:7" x14ac:dyDescent="0.25">
      <c r="A25" s="16" t="s">
        <v>2822</v>
      </c>
      <c r="B25" s="208" t="s">
        <v>144</v>
      </c>
      <c r="C25" s="2" t="s">
        <v>144</v>
      </c>
      <c r="D25" s="208" t="s">
        <v>144</v>
      </c>
      <c r="E25" s="11"/>
      <c r="F25" s="55"/>
    </row>
    <row r="26" spans="1:7" x14ac:dyDescent="0.25">
      <c r="A26" s="16" t="s">
        <v>2835</v>
      </c>
      <c r="B26" s="208" t="s">
        <v>144</v>
      </c>
      <c r="C26" s="2" t="s">
        <v>144</v>
      </c>
      <c r="D26" s="208" t="s">
        <v>144</v>
      </c>
      <c r="E26" s="11"/>
      <c r="F26" s="55"/>
    </row>
    <row r="27" spans="1:7" ht="100" x14ac:dyDescent="0.25">
      <c r="A27" s="16" t="s">
        <v>2967</v>
      </c>
      <c r="B27" s="208" t="s">
        <v>144</v>
      </c>
      <c r="C27" s="2" t="s">
        <v>144</v>
      </c>
      <c r="D27" s="208" t="s">
        <v>144</v>
      </c>
      <c r="E27" s="11"/>
      <c r="F27" s="55"/>
      <c r="G27" s="60" t="s">
        <v>2859</v>
      </c>
    </row>
    <row r="28" spans="1:7" ht="150" x14ac:dyDescent="0.25">
      <c r="A28" s="16" t="s">
        <v>2968</v>
      </c>
      <c r="B28" s="208" t="s">
        <v>144</v>
      </c>
      <c r="C28" s="2" t="s">
        <v>144</v>
      </c>
      <c r="D28" s="208" t="s">
        <v>144</v>
      </c>
      <c r="E28" s="11"/>
      <c r="F28" s="55"/>
      <c r="G28" s="60" t="s">
        <v>2859</v>
      </c>
    </row>
    <row r="29" spans="1:7" x14ac:dyDescent="0.25">
      <c r="A29" s="16" t="s">
        <v>2823</v>
      </c>
      <c r="B29" s="208" t="s">
        <v>144</v>
      </c>
      <c r="C29" s="2" t="s">
        <v>144</v>
      </c>
      <c r="D29" s="208" t="s">
        <v>144</v>
      </c>
      <c r="E29" s="11"/>
      <c r="F29" s="55"/>
      <c r="G29" s="60" t="s">
        <v>2971</v>
      </c>
    </row>
    <row r="30" spans="1:7" x14ac:dyDescent="0.25">
      <c r="A30" s="79" t="s">
        <v>2843</v>
      </c>
      <c r="B30" s="208" t="s">
        <v>144</v>
      </c>
      <c r="C30" s="2" t="s">
        <v>144</v>
      </c>
      <c r="D30" s="208" t="s">
        <v>144</v>
      </c>
      <c r="E30" s="11"/>
      <c r="F30" s="55"/>
    </row>
    <row r="31" spans="1:7" x14ac:dyDescent="0.25">
      <c r="A31" s="79" t="s">
        <v>2844</v>
      </c>
      <c r="B31" s="208" t="s">
        <v>144</v>
      </c>
      <c r="C31" s="2" t="s">
        <v>144</v>
      </c>
      <c r="D31" s="208" t="s">
        <v>144</v>
      </c>
      <c r="E31" s="11"/>
      <c r="F31" s="55"/>
    </row>
    <row r="32" spans="1:7" x14ac:dyDescent="0.25">
      <c r="A32" s="79" t="s">
        <v>2845</v>
      </c>
      <c r="B32" s="208" t="s">
        <v>144</v>
      </c>
      <c r="C32" s="2" t="s">
        <v>144</v>
      </c>
      <c r="D32" s="208" t="s">
        <v>144</v>
      </c>
      <c r="E32" s="11"/>
      <c r="F32" s="55"/>
    </row>
    <row r="33" spans="1:7" x14ac:dyDescent="0.25">
      <c r="A33" s="79" t="s">
        <v>2846</v>
      </c>
      <c r="B33" s="208" t="s">
        <v>144</v>
      </c>
      <c r="C33" s="2" t="s">
        <v>144</v>
      </c>
      <c r="D33" s="208" t="s">
        <v>144</v>
      </c>
      <c r="E33" s="11"/>
      <c r="F33" s="55"/>
    </row>
    <row r="34" spans="1:7" x14ac:dyDescent="0.25">
      <c r="A34" s="79" t="s">
        <v>2969</v>
      </c>
      <c r="B34" s="208" t="s">
        <v>144</v>
      </c>
      <c r="C34" s="2" t="s">
        <v>144</v>
      </c>
      <c r="D34" s="208" t="s">
        <v>144</v>
      </c>
      <c r="E34" s="11"/>
      <c r="F34" s="55"/>
      <c r="G34" s="60" t="s">
        <v>993</v>
      </c>
    </row>
    <row r="35" spans="1:7" ht="108" customHeight="1" x14ac:dyDescent="0.25">
      <c r="A35" s="79" t="s">
        <v>2970</v>
      </c>
      <c r="B35" s="208" t="s">
        <v>144</v>
      </c>
      <c r="C35" s="2" t="s">
        <v>144</v>
      </c>
      <c r="D35" s="208" t="s">
        <v>144</v>
      </c>
      <c r="E35" s="11"/>
      <c r="F35" s="55"/>
      <c r="G35" s="60" t="s">
        <v>993</v>
      </c>
    </row>
  </sheetData>
  <sheetProtection algorithmName="SHA-512" hashValue="hMVzqhedv1K3mWFVL7zdy4R2QoLQTKIqoeaAzv6AR5EXtH4uq+Sm6j4jfm5KjcM4ap3r+maxp4REvE4KLdDSSg==" saltValue="2apJCnC9/7+iDHlvBXBq4g==" spinCount="100000" sheet="1" objects="1" scenarios="1" autoFilter="0"/>
  <autoFilter ref="B5:G35" xr:uid="{00000000-0001-0000-2000-000000000000}"/>
  <mergeCells count="1">
    <mergeCell ref="B4:F4"/>
  </mergeCells>
  <hyperlinks>
    <hyperlink ref="A5" location="'Nieuw Nieuw Nieuw'!A2" display="Duurzaamheid" xr:uid="{00000000-0004-0000-20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14273" r:id="rId3" name="Button 1">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Blad26">
    <tabColor rgb="FF951B81"/>
    <pageSetUpPr fitToPage="1"/>
  </sheetPr>
  <dimension ref="A1:J43"/>
  <sheetViews>
    <sheetView showGridLines="0" zoomScaleNormal="100" workbookViewId="0">
      <pane ySplit="5" topLeftCell="A6" activePane="bottomLeft" state="frozen"/>
      <selection activeCell="F6" sqref="F6"/>
      <selection pane="bottomLeft"/>
    </sheetView>
  </sheetViews>
  <sheetFormatPr defaultColWidth="9.1796875" defaultRowHeight="13" x14ac:dyDescent="0.25"/>
  <cols>
    <col min="1" max="1" width="60.7265625" style="28" customWidth="1"/>
    <col min="2" max="2" width="10.7265625" style="19" customWidth="1"/>
    <col min="3" max="3" width="10.81640625" style="19" customWidth="1"/>
    <col min="4" max="4" width="8.453125" style="19" customWidth="1"/>
    <col min="5" max="5" width="11.81640625" style="19" customWidth="1"/>
    <col min="6" max="6" width="10.7265625" style="61" customWidth="1"/>
    <col min="7" max="7" width="86.453125" style="62" bestFit="1" customWidth="1"/>
    <col min="8" max="10" width="9.1796875" style="61"/>
    <col min="11" max="16384" width="9.1796875" style="19"/>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60"/>
      <c r="H4" s="58"/>
      <c r="I4" s="58"/>
      <c r="J4" s="58"/>
    </row>
    <row r="5" spans="1:10" ht="15.5" x14ac:dyDescent="0.25">
      <c r="A5" s="204" t="s">
        <v>142</v>
      </c>
      <c r="B5" s="197" t="s">
        <v>642</v>
      </c>
      <c r="C5" s="197" t="s">
        <v>643</v>
      </c>
      <c r="D5" s="197" t="s">
        <v>644</v>
      </c>
      <c r="E5" s="198" t="s">
        <v>645</v>
      </c>
      <c r="F5" s="197" t="s">
        <v>54</v>
      </c>
      <c r="G5" s="199" t="s">
        <v>2858</v>
      </c>
    </row>
    <row r="6" spans="1:10" x14ac:dyDescent="0.3">
      <c r="A6" s="20" t="s">
        <v>546</v>
      </c>
      <c r="B6" s="221" t="s">
        <v>144</v>
      </c>
      <c r="C6" s="21" t="s">
        <v>144</v>
      </c>
      <c r="D6" s="221" t="s">
        <v>144</v>
      </c>
      <c r="E6" s="21"/>
      <c r="F6" s="55"/>
      <c r="H6" s="64" t="s">
        <v>2182</v>
      </c>
    </row>
    <row r="7" spans="1:10" ht="25" x14ac:dyDescent="0.3">
      <c r="A7" s="22" t="s">
        <v>818</v>
      </c>
      <c r="B7" s="189" t="s">
        <v>144</v>
      </c>
      <c r="C7" s="23" t="s">
        <v>144</v>
      </c>
      <c r="D7" s="221" t="s">
        <v>144</v>
      </c>
      <c r="E7" s="22" t="s">
        <v>384</v>
      </c>
      <c r="F7" s="55"/>
      <c r="H7" s="64" t="s">
        <v>2182</v>
      </c>
    </row>
    <row r="8" spans="1:10" ht="37.5" x14ac:dyDescent="0.3">
      <c r="A8" s="22" t="s">
        <v>1984</v>
      </c>
      <c r="B8" s="189" t="s">
        <v>144</v>
      </c>
      <c r="C8" s="23" t="s">
        <v>144</v>
      </c>
      <c r="D8" s="221" t="s">
        <v>144</v>
      </c>
      <c r="E8" s="22"/>
      <c r="F8" s="55"/>
      <c r="H8" s="64" t="s">
        <v>2182</v>
      </c>
    </row>
    <row r="9" spans="1:10" ht="37.5" x14ac:dyDescent="0.3">
      <c r="A9" s="22" t="s">
        <v>1782</v>
      </c>
      <c r="B9" s="189" t="s">
        <v>144</v>
      </c>
      <c r="C9" s="23" t="s">
        <v>144</v>
      </c>
      <c r="D9" s="221" t="s">
        <v>144</v>
      </c>
      <c r="E9" s="22" t="s">
        <v>385</v>
      </c>
      <c r="F9" s="55"/>
      <c r="H9" s="64" t="s">
        <v>2182</v>
      </c>
    </row>
    <row r="10" spans="1:10" ht="25" x14ac:dyDescent="0.3">
      <c r="A10" s="22" t="s">
        <v>1402</v>
      </c>
      <c r="B10" s="189" t="s">
        <v>144</v>
      </c>
      <c r="C10" s="23" t="s">
        <v>144</v>
      </c>
      <c r="D10" s="221" t="s">
        <v>144</v>
      </c>
      <c r="E10" s="22" t="s">
        <v>386</v>
      </c>
      <c r="F10" s="55"/>
      <c r="H10" s="64" t="s">
        <v>2182</v>
      </c>
    </row>
    <row r="11" spans="1:10" ht="14.25" customHeight="1" x14ac:dyDescent="0.3">
      <c r="A11" s="22" t="s">
        <v>1783</v>
      </c>
      <c r="B11" s="189" t="s">
        <v>144</v>
      </c>
      <c r="C11" s="23" t="s">
        <v>144</v>
      </c>
      <c r="D11" s="221" t="s">
        <v>144</v>
      </c>
      <c r="E11" s="22" t="s">
        <v>387</v>
      </c>
      <c r="F11" s="55"/>
      <c r="H11" s="64" t="s">
        <v>2182</v>
      </c>
    </row>
    <row r="12" spans="1:10" ht="25" x14ac:dyDescent="0.3">
      <c r="A12" s="24" t="s">
        <v>1403</v>
      </c>
      <c r="B12" s="189" t="s">
        <v>144</v>
      </c>
      <c r="C12" s="23" t="s">
        <v>144</v>
      </c>
      <c r="D12" s="221" t="s">
        <v>144</v>
      </c>
      <c r="E12" s="23"/>
      <c r="F12" s="55"/>
      <c r="H12" s="64" t="s">
        <v>2182</v>
      </c>
    </row>
    <row r="13" spans="1:10" ht="25" x14ac:dyDescent="0.3">
      <c r="A13" s="24" t="s">
        <v>1404</v>
      </c>
      <c r="B13" s="189" t="s">
        <v>144</v>
      </c>
      <c r="C13" s="23" t="s">
        <v>144</v>
      </c>
      <c r="D13" s="221" t="s">
        <v>144</v>
      </c>
      <c r="E13" s="23"/>
      <c r="F13" s="55"/>
      <c r="H13" s="64" t="s">
        <v>2182</v>
      </c>
    </row>
    <row r="14" spans="1:10" ht="50" x14ac:dyDescent="0.3">
      <c r="A14" s="24" t="s">
        <v>1658</v>
      </c>
      <c r="B14" s="189" t="s">
        <v>144</v>
      </c>
      <c r="C14" s="23" t="s">
        <v>144</v>
      </c>
      <c r="D14" s="221" t="s">
        <v>144</v>
      </c>
      <c r="E14" s="23"/>
      <c r="F14" s="55"/>
      <c r="H14" s="64" t="s">
        <v>2182</v>
      </c>
    </row>
    <row r="15" spans="1:10" ht="25" x14ac:dyDescent="0.3">
      <c r="A15" s="24" t="s">
        <v>1784</v>
      </c>
      <c r="B15" s="189" t="s">
        <v>144</v>
      </c>
      <c r="C15" s="23" t="s">
        <v>144</v>
      </c>
      <c r="D15" s="221" t="s">
        <v>144</v>
      </c>
      <c r="E15" s="23"/>
      <c r="F15" s="55"/>
      <c r="H15" s="64" t="s">
        <v>2182</v>
      </c>
    </row>
    <row r="16" spans="1:10" ht="25" x14ac:dyDescent="0.3">
      <c r="A16" s="22" t="s">
        <v>532</v>
      </c>
      <c r="B16" s="189" t="s">
        <v>144</v>
      </c>
      <c r="C16" s="23" t="s">
        <v>144</v>
      </c>
      <c r="D16" s="189" t="s">
        <v>647</v>
      </c>
      <c r="E16" s="22" t="s">
        <v>759</v>
      </c>
      <c r="F16" s="55"/>
      <c r="H16" s="64" t="s">
        <v>2182</v>
      </c>
    </row>
    <row r="17" spans="1:8" ht="25" x14ac:dyDescent="0.3">
      <c r="A17" s="22" t="s">
        <v>1702</v>
      </c>
      <c r="B17" s="189" t="s">
        <v>144</v>
      </c>
      <c r="C17" s="23" t="s">
        <v>144</v>
      </c>
      <c r="D17" s="189" t="s">
        <v>647</v>
      </c>
      <c r="E17" s="23" t="s">
        <v>1405</v>
      </c>
      <c r="F17" s="55"/>
      <c r="H17" s="64" t="s">
        <v>2182</v>
      </c>
    </row>
    <row r="18" spans="1:8" ht="25" x14ac:dyDescent="0.3">
      <c r="A18" s="22" t="s">
        <v>1664</v>
      </c>
      <c r="B18" s="189" t="s">
        <v>144</v>
      </c>
      <c r="C18" s="23" t="s">
        <v>144</v>
      </c>
      <c r="D18" s="189" t="s">
        <v>647</v>
      </c>
      <c r="E18" s="23" t="s">
        <v>388</v>
      </c>
      <c r="F18" s="55"/>
      <c r="H18" s="64" t="s">
        <v>2182</v>
      </c>
    </row>
    <row r="19" spans="1:8" x14ac:dyDescent="0.3">
      <c r="A19" s="22" t="s">
        <v>547</v>
      </c>
      <c r="B19" s="189" t="s">
        <v>646</v>
      </c>
      <c r="C19" s="23" t="s">
        <v>646</v>
      </c>
      <c r="D19" s="189"/>
      <c r="E19" s="23"/>
      <c r="F19" s="55"/>
      <c r="H19" s="64" t="s">
        <v>2182</v>
      </c>
    </row>
    <row r="20" spans="1:8" ht="25" x14ac:dyDescent="0.3">
      <c r="A20" s="22" t="s">
        <v>1085</v>
      </c>
      <c r="B20" s="189" t="s">
        <v>144</v>
      </c>
      <c r="C20" s="23" t="s">
        <v>144</v>
      </c>
      <c r="D20" s="189"/>
      <c r="E20" s="22" t="s">
        <v>389</v>
      </c>
      <c r="F20" s="55"/>
      <c r="H20" s="64" t="s">
        <v>2182</v>
      </c>
    </row>
    <row r="21" spans="1:8" ht="37.5" x14ac:dyDescent="0.3">
      <c r="A21" s="22" t="s">
        <v>170</v>
      </c>
      <c r="B21" s="189" t="s">
        <v>144</v>
      </c>
      <c r="C21" s="23" t="s">
        <v>144</v>
      </c>
      <c r="D21" s="189"/>
      <c r="E21" s="22" t="s">
        <v>389</v>
      </c>
      <c r="F21" s="55"/>
      <c r="H21" s="64" t="s">
        <v>2182</v>
      </c>
    </row>
    <row r="22" spans="1:8" ht="39.75" customHeight="1" x14ac:dyDescent="0.3">
      <c r="A22" s="22" t="s">
        <v>1785</v>
      </c>
      <c r="B22" s="189" t="s">
        <v>646</v>
      </c>
      <c r="C22" s="23" t="s">
        <v>646</v>
      </c>
      <c r="D22" s="189"/>
      <c r="E22" s="22" t="s">
        <v>394</v>
      </c>
      <c r="F22" s="55"/>
      <c r="H22" s="64" t="s">
        <v>2182</v>
      </c>
    </row>
    <row r="23" spans="1:8" ht="28.5" customHeight="1" x14ac:dyDescent="0.3">
      <c r="A23" s="24" t="s">
        <v>1985</v>
      </c>
      <c r="B23" s="189" t="s">
        <v>646</v>
      </c>
      <c r="C23" s="23" t="s">
        <v>646</v>
      </c>
      <c r="D23" s="189"/>
      <c r="E23" s="23"/>
      <c r="F23" s="55"/>
      <c r="H23" s="64" t="s">
        <v>2182</v>
      </c>
    </row>
    <row r="24" spans="1:8" x14ac:dyDescent="0.3">
      <c r="A24" s="24" t="s">
        <v>1406</v>
      </c>
      <c r="B24" s="189" t="s">
        <v>646</v>
      </c>
      <c r="C24" s="23" t="s">
        <v>646</v>
      </c>
      <c r="D24" s="189"/>
      <c r="E24" s="23"/>
      <c r="F24" s="55"/>
      <c r="H24" s="64" t="s">
        <v>2182</v>
      </c>
    </row>
    <row r="25" spans="1:8" ht="25" x14ac:dyDescent="0.3">
      <c r="A25" s="24" t="s">
        <v>1407</v>
      </c>
      <c r="B25" s="189" t="s">
        <v>646</v>
      </c>
      <c r="C25" s="23" t="s">
        <v>646</v>
      </c>
      <c r="D25" s="189"/>
      <c r="E25" s="23"/>
      <c r="F25" s="55"/>
      <c r="H25" s="64" t="s">
        <v>2182</v>
      </c>
    </row>
    <row r="26" spans="1:8" ht="37.5" x14ac:dyDescent="0.3">
      <c r="A26" s="24" t="s">
        <v>1408</v>
      </c>
      <c r="B26" s="189" t="s">
        <v>646</v>
      </c>
      <c r="C26" s="23" t="s">
        <v>646</v>
      </c>
      <c r="D26" s="189"/>
      <c r="E26" s="23"/>
      <c r="F26" s="55"/>
      <c r="H26" s="64" t="s">
        <v>2182</v>
      </c>
    </row>
    <row r="27" spans="1:8" ht="25" x14ac:dyDescent="0.3">
      <c r="A27" s="24" t="s">
        <v>1659</v>
      </c>
      <c r="B27" s="189" t="s">
        <v>646</v>
      </c>
      <c r="C27" s="23" t="s">
        <v>646</v>
      </c>
      <c r="D27" s="189"/>
      <c r="E27" s="23"/>
      <c r="F27" s="55"/>
      <c r="H27" s="64" t="s">
        <v>2182</v>
      </c>
    </row>
    <row r="28" spans="1:8" ht="25" x14ac:dyDescent="0.3">
      <c r="A28" s="24" t="s">
        <v>1660</v>
      </c>
      <c r="B28" s="189" t="s">
        <v>646</v>
      </c>
      <c r="C28" s="23" t="s">
        <v>646</v>
      </c>
      <c r="D28" s="189"/>
      <c r="E28" s="23" t="s">
        <v>1986</v>
      </c>
      <c r="F28" s="55"/>
      <c r="H28" s="64" t="s">
        <v>2182</v>
      </c>
    </row>
    <row r="29" spans="1:8" ht="105" customHeight="1" x14ac:dyDescent="0.3">
      <c r="A29" s="24" t="s">
        <v>2540</v>
      </c>
      <c r="B29" s="189" t="s">
        <v>646</v>
      </c>
      <c r="C29" s="23" t="s">
        <v>646</v>
      </c>
      <c r="D29" s="189"/>
      <c r="E29" s="22" t="s">
        <v>395</v>
      </c>
      <c r="F29" s="55"/>
      <c r="H29" s="64"/>
    </row>
    <row r="30" spans="1:8" ht="108" customHeight="1" x14ac:dyDescent="0.3">
      <c r="A30" s="24" t="s">
        <v>2812</v>
      </c>
      <c r="B30" s="189" t="s">
        <v>646</v>
      </c>
      <c r="C30" s="23" t="s">
        <v>646</v>
      </c>
      <c r="D30" s="189"/>
      <c r="E30" s="22"/>
      <c r="F30" s="55"/>
      <c r="H30" s="64"/>
    </row>
    <row r="31" spans="1:8" x14ac:dyDescent="0.3">
      <c r="A31" s="22" t="s">
        <v>116</v>
      </c>
      <c r="B31" s="189" t="s">
        <v>144</v>
      </c>
      <c r="C31" s="23" t="s">
        <v>144</v>
      </c>
      <c r="D31" s="189" t="s">
        <v>144</v>
      </c>
      <c r="E31" s="23"/>
      <c r="F31" s="55"/>
      <c r="H31" s="64" t="s">
        <v>2182</v>
      </c>
    </row>
    <row r="32" spans="1:8" ht="62.5" x14ac:dyDescent="0.3">
      <c r="A32" s="22" t="s">
        <v>1409</v>
      </c>
      <c r="B32" s="189" t="s">
        <v>144</v>
      </c>
      <c r="C32" s="23" t="s">
        <v>144</v>
      </c>
      <c r="D32" s="189" t="s">
        <v>144</v>
      </c>
      <c r="E32" s="22" t="s">
        <v>385</v>
      </c>
      <c r="F32" s="55"/>
      <c r="H32" s="64" t="s">
        <v>2182</v>
      </c>
    </row>
    <row r="33" spans="1:8" ht="50" x14ac:dyDescent="0.3">
      <c r="A33" s="22" t="s">
        <v>1410</v>
      </c>
      <c r="B33" s="189" t="s">
        <v>646</v>
      </c>
      <c r="C33" s="23"/>
      <c r="D33" s="189"/>
      <c r="E33" s="22" t="s">
        <v>396</v>
      </c>
      <c r="F33" s="55"/>
      <c r="H33" s="64" t="s">
        <v>2182</v>
      </c>
    </row>
    <row r="34" spans="1:8" x14ac:dyDescent="0.3">
      <c r="A34" s="24" t="s">
        <v>1411</v>
      </c>
      <c r="B34" s="189" t="s">
        <v>646</v>
      </c>
      <c r="C34" s="23"/>
      <c r="D34" s="189"/>
      <c r="E34" s="23"/>
      <c r="F34" s="55"/>
      <c r="H34" s="64" t="s">
        <v>2182</v>
      </c>
    </row>
    <row r="35" spans="1:8" x14ac:dyDescent="0.3">
      <c r="A35" s="24" t="s">
        <v>1347</v>
      </c>
      <c r="B35" s="189" t="s">
        <v>646</v>
      </c>
      <c r="C35" s="23"/>
      <c r="D35" s="189"/>
      <c r="E35" s="23"/>
      <c r="F35" s="55"/>
      <c r="H35" s="64" t="s">
        <v>2182</v>
      </c>
    </row>
    <row r="36" spans="1:8" x14ac:dyDescent="0.3">
      <c r="A36" s="24" t="s">
        <v>1412</v>
      </c>
      <c r="B36" s="189" t="s">
        <v>646</v>
      </c>
      <c r="C36" s="23"/>
      <c r="D36" s="189"/>
      <c r="E36" s="23"/>
      <c r="F36" s="55"/>
      <c r="H36" s="64" t="s">
        <v>2182</v>
      </c>
    </row>
    <row r="37" spans="1:8" x14ac:dyDescent="0.3">
      <c r="A37" s="24" t="s">
        <v>0</v>
      </c>
      <c r="B37" s="189" t="s">
        <v>646</v>
      </c>
      <c r="C37" s="23"/>
      <c r="D37" s="189"/>
      <c r="E37" s="23"/>
      <c r="F37" s="55"/>
      <c r="H37" s="64" t="s">
        <v>2182</v>
      </c>
    </row>
    <row r="38" spans="1:8" ht="37.5" x14ac:dyDescent="0.3">
      <c r="A38" s="24" t="s">
        <v>1987</v>
      </c>
      <c r="B38" s="189" t="s">
        <v>646</v>
      </c>
      <c r="C38" s="23"/>
      <c r="D38" s="189"/>
      <c r="E38" s="23" t="s">
        <v>1988</v>
      </c>
      <c r="F38" s="55"/>
      <c r="H38" s="64" t="s">
        <v>2182</v>
      </c>
    </row>
    <row r="39" spans="1:8" x14ac:dyDescent="0.3">
      <c r="A39" s="22" t="s">
        <v>2181</v>
      </c>
      <c r="B39" s="189" t="s">
        <v>144</v>
      </c>
      <c r="C39" s="23" t="s">
        <v>144</v>
      </c>
      <c r="D39" s="189" t="s">
        <v>144</v>
      </c>
      <c r="E39" s="23"/>
      <c r="F39" s="55"/>
      <c r="H39" s="64" t="s">
        <v>2182</v>
      </c>
    </row>
    <row r="40" spans="1:8" ht="42.75" customHeight="1" x14ac:dyDescent="0.3">
      <c r="A40" s="24" t="s">
        <v>1661</v>
      </c>
      <c r="B40" s="189"/>
      <c r="C40" s="23" t="s">
        <v>647</v>
      </c>
      <c r="D40" s="189" t="s">
        <v>647</v>
      </c>
      <c r="E40" s="22" t="s">
        <v>1662</v>
      </c>
      <c r="F40" s="55"/>
      <c r="G40" s="101"/>
      <c r="H40" s="64" t="s">
        <v>2182</v>
      </c>
    </row>
    <row r="41" spans="1:8" ht="27.75" customHeight="1" x14ac:dyDescent="0.3">
      <c r="A41" s="24" t="s">
        <v>1663</v>
      </c>
      <c r="B41" s="189" t="s">
        <v>144</v>
      </c>
      <c r="C41" s="23" t="s">
        <v>144</v>
      </c>
      <c r="D41" s="189" t="s">
        <v>144</v>
      </c>
      <c r="E41" s="22" t="s">
        <v>351</v>
      </c>
      <c r="F41" s="55"/>
      <c r="G41" s="101"/>
      <c r="H41" s="64" t="s">
        <v>2182</v>
      </c>
    </row>
    <row r="42" spans="1:8" ht="39.75" customHeight="1" x14ac:dyDescent="0.3">
      <c r="A42" s="24" t="s">
        <v>1990</v>
      </c>
      <c r="B42" s="189" t="s">
        <v>144</v>
      </c>
      <c r="C42" s="23" t="s">
        <v>144</v>
      </c>
      <c r="D42" s="189" t="s">
        <v>144</v>
      </c>
      <c r="E42" s="97" t="s">
        <v>1413</v>
      </c>
      <c r="F42" s="55"/>
      <c r="H42" s="64" t="s">
        <v>2182</v>
      </c>
    </row>
    <row r="43" spans="1:8" ht="37.5" x14ac:dyDescent="0.3">
      <c r="A43" s="24" t="s">
        <v>1989</v>
      </c>
      <c r="B43" s="189" t="s">
        <v>144</v>
      </c>
      <c r="C43" s="23" t="s">
        <v>144</v>
      </c>
      <c r="D43" s="189" t="s">
        <v>144</v>
      </c>
      <c r="E43" s="55" t="s">
        <v>1414</v>
      </c>
      <c r="F43" s="55"/>
      <c r="H43" s="64" t="s">
        <v>2182</v>
      </c>
    </row>
  </sheetData>
  <sheetProtection algorithmName="SHA-512" hashValue="ecKilsRKwgxbU5CDgU1hsa8laBns+evtxQIYAsIuavNcC2hznWkzTDysbZsLwkz+ntCnFtPe3RyzTKgqA8N/KQ==" saltValue="No16U9WpGGQO5z4UhrWXjw==" spinCount="100000" sheet="1" objects="1" scenarios="1" autoFilter="0"/>
  <autoFilter ref="B5:G43" xr:uid="{00000000-0009-0000-0000-000021000000}"/>
  <customSheetViews>
    <customSheetView guid="{33D191C9-AE75-45EC-B301-B583C3381734}" showGridLines="0" fitToPage="1" printArea="1" showAutoFilter="1">
      <pane ySplit="5" topLeftCell="A36" activePane="bottomLeft" state="frozen"/>
      <selection pane="bottomLeft"/>
      <pageMargins left="0.75" right="0.75" top="1" bottom="1" header="0.5" footer="0.5"/>
      <pageSetup paperSize="9" scale="58" fitToHeight="100" orientation="landscape" r:id="rId1"/>
      <headerFooter alignWithMargins="0"/>
      <autoFilter ref="B1:G1" xr:uid="{0D34C0BF-D854-470B-9523-A0F371892733}"/>
    </customSheetView>
  </customSheetViews>
  <mergeCells count="1">
    <mergeCell ref="B4:F4"/>
  </mergeCells>
  <phoneticPr fontId="2" type="noConversion"/>
  <dataValidations count="1">
    <dataValidation type="list" allowBlank="1" showInputMessage="1" showErrorMessage="1" sqref="F6:F43" xr:uid="{00000000-0002-0000-2100-000000000000}">
      <formula1>"Akkoord,Opmerking,N.v.t.,,"</formula1>
    </dataValidation>
  </dataValidations>
  <hyperlinks>
    <hyperlink ref="A5" location="Accountantscontrole!A2" display="Accountantscontrole" xr:uid="{00000000-0004-0000-2100-000000000000}"/>
  </hyperlinks>
  <pageMargins left="0.75" right="0.75" top="1" bottom="1" header="0.5" footer="0.5"/>
  <pageSetup paperSize="9" scale="58"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7653"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Blad28">
    <tabColor rgb="FF951B81"/>
    <pageSetUpPr fitToPage="1"/>
  </sheetPr>
  <dimension ref="A1:J49"/>
  <sheetViews>
    <sheetView showGridLines="0" zoomScaleNormal="100" workbookViewId="0">
      <pane ySplit="5" topLeftCell="A6" activePane="bottomLeft" state="frozen"/>
      <selection activeCell="F6" sqref="F6"/>
      <selection pane="bottomLeft"/>
    </sheetView>
  </sheetViews>
  <sheetFormatPr defaultColWidth="9.1796875" defaultRowHeight="13" x14ac:dyDescent="0.25"/>
  <cols>
    <col min="1" max="1" width="60.7265625" style="5" customWidth="1"/>
    <col min="2" max="2" width="9" style="1" customWidth="1"/>
    <col min="3" max="3" width="10.81640625" style="1" customWidth="1"/>
    <col min="4" max="4" width="8.453125" style="1" customWidth="1"/>
    <col min="5" max="5" width="10.7265625" style="6" customWidth="1"/>
    <col min="6" max="6" width="10.7265625" style="58" customWidth="1"/>
    <col min="7" max="7" width="80.453125" style="60" bestFit="1" customWidth="1"/>
    <col min="8" max="10" width="9.1796875" style="58"/>
    <col min="11" max="16384" width="9.1796875" style="6"/>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ht="20.149999999999999" customHeight="1" x14ac:dyDescent="0.25">
      <c r="A4" s="6"/>
      <c r="B4" s="252" t="str">
        <f>CONCATENATE("Klant en boekjaar: ",Klantnummer,"; ",Naam_klant,";  ",Boekjaar)</f>
        <v xml:space="preserve">Klant en boekjaar: ; ;  </v>
      </c>
      <c r="C4" s="253"/>
      <c r="D4" s="253"/>
      <c r="E4" s="253"/>
      <c r="F4" s="253"/>
    </row>
    <row r="5" spans="1:10" ht="15.5" x14ac:dyDescent="0.25">
      <c r="A5" s="204" t="s">
        <v>361</v>
      </c>
      <c r="B5" s="228" t="s">
        <v>642</v>
      </c>
      <c r="C5" s="228" t="s">
        <v>643</v>
      </c>
      <c r="D5" s="228" t="s">
        <v>644</v>
      </c>
      <c r="E5" s="198" t="s">
        <v>645</v>
      </c>
      <c r="F5" s="197" t="s">
        <v>54</v>
      </c>
      <c r="G5" s="199" t="s">
        <v>2858</v>
      </c>
    </row>
    <row r="6" spans="1:10" x14ac:dyDescent="0.3">
      <c r="A6" s="8" t="s">
        <v>546</v>
      </c>
      <c r="B6" s="200" t="s">
        <v>144</v>
      </c>
      <c r="C6" s="2" t="s">
        <v>144</v>
      </c>
      <c r="D6" s="200" t="s">
        <v>144</v>
      </c>
      <c r="E6" s="9"/>
      <c r="F6" s="55"/>
      <c r="H6" s="64" t="s">
        <v>2182</v>
      </c>
    </row>
    <row r="7" spans="1:10" ht="43.5" customHeight="1" x14ac:dyDescent="0.3">
      <c r="A7" s="16" t="s">
        <v>2344</v>
      </c>
      <c r="B7" s="200" t="s">
        <v>144</v>
      </c>
      <c r="C7" s="2" t="s">
        <v>144</v>
      </c>
      <c r="D7" s="200" t="s">
        <v>144</v>
      </c>
      <c r="E7" s="16" t="s">
        <v>2165</v>
      </c>
      <c r="F7" s="55"/>
      <c r="H7" s="64" t="s">
        <v>2182</v>
      </c>
    </row>
    <row r="8" spans="1:10" ht="50" x14ac:dyDescent="0.3">
      <c r="A8" s="16" t="s">
        <v>2173</v>
      </c>
      <c r="B8" s="200" t="s">
        <v>144</v>
      </c>
      <c r="C8" s="2" t="s">
        <v>144</v>
      </c>
      <c r="D8" s="200" t="s">
        <v>144</v>
      </c>
      <c r="E8" s="16" t="s">
        <v>2166</v>
      </c>
      <c r="F8" s="55"/>
      <c r="H8" s="64"/>
    </row>
    <row r="9" spans="1:10" ht="75" x14ac:dyDescent="0.3">
      <c r="A9" s="16" t="s">
        <v>2541</v>
      </c>
      <c r="B9" s="200" t="s">
        <v>144</v>
      </c>
      <c r="C9" s="2" t="s">
        <v>144</v>
      </c>
      <c r="D9" s="200" t="s">
        <v>144</v>
      </c>
      <c r="E9" s="16" t="s">
        <v>593</v>
      </c>
      <c r="F9" s="55"/>
      <c r="H9" s="64" t="s">
        <v>2182</v>
      </c>
    </row>
    <row r="10" spans="1:10" ht="50" x14ac:dyDescent="0.3">
      <c r="A10" s="10" t="s">
        <v>621</v>
      </c>
      <c r="B10" s="200" t="s">
        <v>144</v>
      </c>
      <c r="C10" s="2" t="s">
        <v>144</v>
      </c>
      <c r="D10" s="200" t="s">
        <v>144</v>
      </c>
      <c r="E10" s="10" t="s">
        <v>594</v>
      </c>
      <c r="F10" s="55"/>
      <c r="H10" s="64" t="s">
        <v>2182</v>
      </c>
    </row>
    <row r="11" spans="1:10" x14ac:dyDescent="0.3">
      <c r="A11" s="10" t="s">
        <v>622</v>
      </c>
      <c r="B11" s="200" t="s">
        <v>144</v>
      </c>
      <c r="C11" s="2" t="s">
        <v>144</v>
      </c>
      <c r="D11" s="200" t="s">
        <v>144</v>
      </c>
      <c r="E11" s="11"/>
      <c r="F11" s="55"/>
      <c r="H11" s="64" t="s">
        <v>2182</v>
      </c>
    </row>
    <row r="12" spans="1:10" x14ac:dyDescent="0.3">
      <c r="A12" s="10" t="s">
        <v>547</v>
      </c>
      <c r="B12" s="200" t="s">
        <v>144</v>
      </c>
      <c r="C12" s="2" t="s">
        <v>144</v>
      </c>
      <c r="D12" s="200" t="s">
        <v>144</v>
      </c>
      <c r="E12" s="11"/>
      <c r="F12" s="55"/>
      <c r="H12" s="64" t="s">
        <v>2182</v>
      </c>
    </row>
    <row r="13" spans="1:10" x14ac:dyDescent="0.3">
      <c r="A13" s="10" t="s">
        <v>26</v>
      </c>
      <c r="B13" s="200" t="s">
        <v>144</v>
      </c>
      <c r="C13" s="2" t="s">
        <v>144</v>
      </c>
      <c r="D13" s="200" t="s">
        <v>144</v>
      </c>
      <c r="E13" s="11"/>
      <c r="F13" s="55"/>
      <c r="H13" s="64" t="s">
        <v>2182</v>
      </c>
    </row>
    <row r="14" spans="1:10" x14ac:dyDescent="0.3">
      <c r="A14" s="10" t="s">
        <v>27</v>
      </c>
      <c r="B14" s="200" t="s">
        <v>144</v>
      </c>
      <c r="C14" s="2" t="s">
        <v>144</v>
      </c>
      <c r="D14" s="200" t="s">
        <v>144</v>
      </c>
      <c r="E14" s="11"/>
      <c r="F14" s="55"/>
      <c r="H14" s="64" t="s">
        <v>2182</v>
      </c>
    </row>
    <row r="15" spans="1:10" ht="37.5" x14ac:dyDescent="0.3">
      <c r="A15" s="79" t="s">
        <v>1786</v>
      </c>
      <c r="B15" s="200" t="s">
        <v>144</v>
      </c>
      <c r="C15" s="2" t="s">
        <v>144</v>
      </c>
      <c r="D15" s="200" t="s">
        <v>144</v>
      </c>
      <c r="E15" s="11"/>
      <c r="F15" s="55"/>
      <c r="H15" s="64" t="s">
        <v>2182</v>
      </c>
    </row>
    <row r="16" spans="1:10" x14ac:dyDescent="0.3">
      <c r="A16" s="10" t="s">
        <v>623</v>
      </c>
      <c r="B16" s="200" t="s">
        <v>144</v>
      </c>
      <c r="C16" s="2" t="s">
        <v>144</v>
      </c>
      <c r="D16" s="200" t="s">
        <v>144</v>
      </c>
      <c r="E16" s="11"/>
      <c r="F16" s="55"/>
      <c r="H16" s="64" t="s">
        <v>2182</v>
      </c>
    </row>
    <row r="17" spans="1:8" x14ac:dyDescent="0.3">
      <c r="A17" s="10" t="s">
        <v>28</v>
      </c>
      <c r="B17" s="200" t="s">
        <v>144</v>
      </c>
      <c r="C17" s="2" t="s">
        <v>144</v>
      </c>
      <c r="D17" s="200" t="s">
        <v>144</v>
      </c>
      <c r="E17" s="11"/>
      <c r="F17" s="55"/>
      <c r="H17" s="64" t="s">
        <v>2182</v>
      </c>
    </row>
    <row r="18" spans="1:8" ht="25" x14ac:dyDescent="0.3">
      <c r="A18" s="79" t="s">
        <v>1787</v>
      </c>
      <c r="B18" s="200" t="s">
        <v>144</v>
      </c>
      <c r="C18" s="2" t="s">
        <v>144</v>
      </c>
      <c r="D18" s="200" t="s">
        <v>144</v>
      </c>
      <c r="E18" s="11"/>
      <c r="F18" s="55"/>
      <c r="H18" s="64" t="s">
        <v>2182</v>
      </c>
    </row>
    <row r="19" spans="1:8" x14ac:dyDescent="0.3">
      <c r="A19" s="16" t="s">
        <v>624</v>
      </c>
      <c r="B19" s="200" t="s">
        <v>144</v>
      </c>
      <c r="C19" s="2" t="s">
        <v>144</v>
      </c>
      <c r="D19" s="200" t="s">
        <v>144</v>
      </c>
      <c r="E19" s="11"/>
      <c r="F19" s="55"/>
      <c r="H19" s="64" t="s">
        <v>2182</v>
      </c>
    </row>
    <row r="20" spans="1:8" ht="37.5" x14ac:dyDescent="0.3">
      <c r="A20" s="79" t="s">
        <v>2542</v>
      </c>
      <c r="B20" s="200" t="s">
        <v>144</v>
      </c>
      <c r="C20" s="2" t="s">
        <v>144</v>
      </c>
      <c r="D20" s="200" t="s">
        <v>144</v>
      </c>
      <c r="E20" s="11"/>
      <c r="F20" s="55"/>
      <c r="H20" s="64" t="s">
        <v>2182</v>
      </c>
    </row>
    <row r="21" spans="1:8" x14ac:dyDescent="0.3">
      <c r="A21" s="16" t="s">
        <v>1086</v>
      </c>
      <c r="B21" s="200" t="s">
        <v>144</v>
      </c>
      <c r="C21" s="2" t="s">
        <v>144</v>
      </c>
      <c r="D21" s="200" t="s">
        <v>144</v>
      </c>
      <c r="E21" s="11"/>
      <c r="F21" s="55"/>
      <c r="H21" s="64" t="s">
        <v>2182</v>
      </c>
    </row>
    <row r="22" spans="1:8" ht="37.5" x14ac:dyDescent="0.3">
      <c r="A22" s="79" t="s">
        <v>2383</v>
      </c>
      <c r="B22" s="200" t="s">
        <v>144</v>
      </c>
      <c r="C22" s="2" t="s">
        <v>144</v>
      </c>
      <c r="D22" s="200" t="s">
        <v>144</v>
      </c>
      <c r="E22" s="11"/>
      <c r="F22" s="55"/>
      <c r="H22" s="64" t="s">
        <v>2182</v>
      </c>
    </row>
    <row r="23" spans="1:8" x14ac:dyDescent="0.3">
      <c r="A23" s="85" t="s">
        <v>625</v>
      </c>
      <c r="B23" s="200" t="s">
        <v>144</v>
      </c>
      <c r="C23" s="2" t="s">
        <v>144</v>
      </c>
      <c r="D23" s="200" t="s">
        <v>144</v>
      </c>
      <c r="E23" s="11"/>
      <c r="F23" s="55"/>
      <c r="H23" s="64" t="s">
        <v>2182</v>
      </c>
    </row>
    <row r="24" spans="1:8" ht="25" x14ac:dyDescent="0.3">
      <c r="A24" s="16" t="s">
        <v>2384</v>
      </c>
      <c r="B24" s="200" t="s">
        <v>144</v>
      </c>
      <c r="C24" s="2" t="s">
        <v>144</v>
      </c>
      <c r="D24" s="200" t="s">
        <v>144</v>
      </c>
      <c r="E24" s="11"/>
      <c r="F24" s="55"/>
      <c r="H24" s="64" t="s">
        <v>2182</v>
      </c>
    </row>
    <row r="25" spans="1:8" x14ac:dyDescent="0.3">
      <c r="A25" s="10" t="s">
        <v>626</v>
      </c>
      <c r="B25" s="200" t="s">
        <v>144</v>
      </c>
      <c r="C25" s="2" t="s">
        <v>144</v>
      </c>
      <c r="D25" s="200" t="s">
        <v>144</v>
      </c>
      <c r="E25" s="11"/>
      <c r="F25" s="55"/>
      <c r="H25" s="64" t="s">
        <v>2182</v>
      </c>
    </row>
    <row r="26" spans="1:8" ht="25" x14ac:dyDescent="0.3">
      <c r="A26" s="16" t="s">
        <v>1415</v>
      </c>
      <c r="B26" s="200" t="s">
        <v>144</v>
      </c>
      <c r="C26" s="2" t="s">
        <v>144</v>
      </c>
      <c r="D26" s="200" t="s">
        <v>144</v>
      </c>
      <c r="E26" s="11"/>
      <c r="F26" s="55"/>
      <c r="H26" s="64" t="s">
        <v>2182</v>
      </c>
    </row>
    <row r="27" spans="1:8" x14ac:dyDescent="0.3">
      <c r="A27" s="16" t="s">
        <v>1788</v>
      </c>
      <c r="B27" s="200" t="s">
        <v>144</v>
      </c>
      <c r="C27" s="2" t="s">
        <v>144</v>
      </c>
      <c r="D27" s="200" t="s">
        <v>144</v>
      </c>
      <c r="E27" s="11"/>
      <c r="F27" s="55"/>
      <c r="H27" s="64" t="s">
        <v>2182</v>
      </c>
    </row>
    <row r="28" spans="1:8" x14ac:dyDescent="0.3">
      <c r="A28" s="16" t="s">
        <v>1789</v>
      </c>
      <c r="B28" s="200" t="s">
        <v>144</v>
      </c>
      <c r="C28" s="2" t="s">
        <v>144</v>
      </c>
      <c r="D28" s="200" t="s">
        <v>144</v>
      </c>
      <c r="E28" s="11"/>
      <c r="F28" s="55"/>
      <c r="H28" s="64" t="s">
        <v>2182</v>
      </c>
    </row>
    <row r="29" spans="1:8" x14ac:dyDescent="0.3">
      <c r="A29" s="10" t="s">
        <v>627</v>
      </c>
      <c r="B29" s="200" t="s">
        <v>144</v>
      </c>
      <c r="C29" s="2" t="s">
        <v>144</v>
      </c>
      <c r="D29" s="200" t="s">
        <v>144</v>
      </c>
      <c r="E29" s="11"/>
      <c r="F29" s="55"/>
      <c r="H29" s="64" t="s">
        <v>2182</v>
      </c>
    </row>
    <row r="30" spans="1:8" x14ac:dyDescent="0.3">
      <c r="A30" s="16" t="s">
        <v>2385</v>
      </c>
      <c r="B30" s="200" t="s">
        <v>144</v>
      </c>
      <c r="C30" s="2" t="s">
        <v>144</v>
      </c>
      <c r="D30" s="200" t="s">
        <v>144</v>
      </c>
      <c r="E30" s="11"/>
      <c r="F30" s="55"/>
      <c r="H30" s="64" t="s">
        <v>2182</v>
      </c>
    </row>
    <row r="31" spans="1:8" x14ac:dyDescent="0.3">
      <c r="A31" s="16" t="s">
        <v>1790</v>
      </c>
      <c r="B31" s="200" t="s">
        <v>144</v>
      </c>
      <c r="C31" s="2" t="s">
        <v>144</v>
      </c>
      <c r="D31" s="200" t="s">
        <v>144</v>
      </c>
      <c r="E31" s="11"/>
      <c r="F31" s="55"/>
      <c r="H31" s="64" t="s">
        <v>2182</v>
      </c>
    </row>
    <row r="32" spans="1:8" x14ac:dyDescent="0.3">
      <c r="A32" s="16" t="s">
        <v>2386</v>
      </c>
      <c r="B32" s="200" t="s">
        <v>144</v>
      </c>
      <c r="C32" s="2" t="s">
        <v>144</v>
      </c>
      <c r="D32" s="200" t="s">
        <v>144</v>
      </c>
      <c r="E32" s="11"/>
      <c r="F32" s="55"/>
      <c r="H32" s="64" t="s">
        <v>2182</v>
      </c>
    </row>
    <row r="33" spans="1:8" x14ac:dyDescent="0.3">
      <c r="A33" s="85" t="s">
        <v>217</v>
      </c>
      <c r="B33" s="200" t="s">
        <v>144</v>
      </c>
      <c r="C33" s="2" t="s">
        <v>144</v>
      </c>
      <c r="D33" s="200" t="s">
        <v>144</v>
      </c>
      <c r="E33" s="11"/>
      <c r="F33" s="55"/>
      <c r="H33" s="64" t="s">
        <v>2182</v>
      </c>
    </row>
    <row r="34" spans="1:8" ht="25" x14ac:dyDescent="0.3">
      <c r="A34" s="16" t="s">
        <v>2387</v>
      </c>
      <c r="B34" s="200" t="s">
        <v>144</v>
      </c>
      <c r="C34" s="2" t="s">
        <v>144</v>
      </c>
      <c r="D34" s="200" t="s">
        <v>144</v>
      </c>
      <c r="E34" s="11"/>
      <c r="F34" s="55"/>
      <c r="H34" s="64" t="s">
        <v>2182</v>
      </c>
    </row>
    <row r="35" spans="1:8" ht="25" x14ac:dyDescent="0.3">
      <c r="A35" s="16" t="s">
        <v>2388</v>
      </c>
      <c r="B35" s="200" t="s">
        <v>144</v>
      </c>
      <c r="C35" s="2" t="s">
        <v>144</v>
      </c>
      <c r="D35" s="200" t="s">
        <v>144</v>
      </c>
      <c r="E35" s="11"/>
      <c r="F35" s="55"/>
      <c r="H35" s="64" t="s">
        <v>2182</v>
      </c>
    </row>
    <row r="36" spans="1:8" ht="25" x14ac:dyDescent="0.3">
      <c r="A36" s="16" t="s">
        <v>2389</v>
      </c>
      <c r="B36" s="200" t="s">
        <v>144</v>
      </c>
      <c r="C36" s="2" t="s">
        <v>144</v>
      </c>
      <c r="D36" s="200" t="s">
        <v>144</v>
      </c>
      <c r="E36" s="11"/>
      <c r="F36" s="55"/>
      <c r="H36" s="64" t="s">
        <v>2182</v>
      </c>
    </row>
    <row r="37" spans="1:8" x14ac:dyDescent="0.3">
      <c r="A37" s="35" t="s">
        <v>2167</v>
      </c>
      <c r="B37" s="200" t="s">
        <v>144</v>
      </c>
      <c r="C37" s="2" t="s">
        <v>144</v>
      </c>
      <c r="D37" s="200" t="s">
        <v>144</v>
      </c>
      <c r="E37" s="11"/>
      <c r="F37" s="55"/>
      <c r="H37" s="64" t="s">
        <v>2182</v>
      </c>
    </row>
    <row r="38" spans="1:8" x14ac:dyDescent="0.3">
      <c r="A38" s="10" t="s">
        <v>411</v>
      </c>
      <c r="B38" s="200" t="s">
        <v>144</v>
      </c>
      <c r="C38" s="2" t="s">
        <v>144</v>
      </c>
      <c r="D38" s="200" t="s">
        <v>144</v>
      </c>
      <c r="E38" s="11"/>
      <c r="F38" s="55"/>
      <c r="H38" s="64" t="s">
        <v>2182</v>
      </c>
    </row>
    <row r="39" spans="1:8" ht="26.25" customHeight="1" x14ac:dyDescent="0.3">
      <c r="A39" s="16" t="s">
        <v>1416</v>
      </c>
      <c r="B39" s="200" t="s">
        <v>144</v>
      </c>
      <c r="C39" s="2" t="s">
        <v>144</v>
      </c>
      <c r="D39" s="200" t="s">
        <v>144</v>
      </c>
      <c r="E39" s="11"/>
      <c r="F39" s="55"/>
      <c r="H39" s="64" t="s">
        <v>2182</v>
      </c>
    </row>
    <row r="40" spans="1:8" ht="14.25" customHeight="1" x14ac:dyDescent="0.3">
      <c r="A40" s="10" t="s">
        <v>412</v>
      </c>
      <c r="B40" s="200" t="s">
        <v>144</v>
      </c>
      <c r="C40" s="2" t="s">
        <v>144</v>
      </c>
      <c r="D40" s="200" t="s">
        <v>144</v>
      </c>
      <c r="E40" s="11"/>
      <c r="F40" s="55"/>
      <c r="H40" s="64" t="s">
        <v>2182</v>
      </c>
    </row>
    <row r="41" spans="1:8" x14ac:dyDescent="0.3">
      <c r="A41" s="10" t="s">
        <v>796</v>
      </c>
      <c r="B41" s="200" t="s">
        <v>144</v>
      </c>
      <c r="C41" s="2" t="s">
        <v>144</v>
      </c>
      <c r="D41" s="200" t="s">
        <v>144</v>
      </c>
      <c r="E41" s="11"/>
      <c r="F41" s="55"/>
      <c r="H41" s="64" t="s">
        <v>2182</v>
      </c>
    </row>
    <row r="42" spans="1:8" ht="25" x14ac:dyDescent="0.3">
      <c r="A42" s="10" t="s">
        <v>797</v>
      </c>
      <c r="B42" s="200" t="s">
        <v>144</v>
      </c>
      <c r="C42" s="2" t="s">
        <v>144</v>
      </c>
      <c r="D42" s="200" t="s">
        <v>144</v>
      </c>
      <c r="E42" s="11"/>
      <c r="F42" s="55"/>
      <c r="H42" s="64" t="s">
        <v>2182</v>
      </c>
    </row>
    <row r="43" spans="1:8" x14ac:dyDescent="0.3">
      <c r="A43" s="10" t="s">
        <v>798</v>
      </c>
      <c r="B43" s="200" t="s">
        <v>144</v>
      </c>
      <c r="C43" s="2" t="s">
        <v>144</v>
      </c>
      <c r="D43" s="200" t="s">
        <v>144</v>
      </c>
      <c r="E43" s="11"/>
      <c r="F43" s="55"/>
      <c r="H43" s="64" t="s">
        <v>2182</v>
      </c>
    </row>
    <row r="44" spans="1:8" ht="25" x14ac:dyDescent="0.3">
      <c r="A44" s="10" t="s">
        <v>799</v>
      </c>
      <c r="B44" s="200" t="s">
        <v>144</v>
      </c>
      <c r="C44" s="2" t="s">
        <v>144</v>
      </c>
      <c r="D44" s="200" t="s">
        <v>144</v>
      </c>
      <c r="E44" s="11"/>
      <c r="F44" s="55"/>
      <c r="H44" s="64" t="s">
        <v>2182</v>
      </c>
    </row>
    <row r="45" spans="1:8" ht="37.5" x14ac:dyDescent="0.3">
      <c r="A45" s="16" t="s">
        <v>2543</v>
      </c>
      <c r="B45" s="200" t="s">
        <v>144</v>
      </c>
      <c r="C45" s="2" t="s">
        <v>144</v>
      </c>
      <c r="D45" s="200" t="s">
        <v>144</v>
      </c>
      <c r="E45" s="11"/>
      <c r="F45" s="55"/>
      <c r="H45" s="64" t="s">
        <v>2182</v>
      </c>
    </row>
    <row r="46" spans="1:8" x14ac:dyDescent="0.3">
      <c r="A46" s="10" t="s">
        <v>470</v>
      </c>
      <c r="B46" s="200" t="s">
        <v>144</v>
      </c>
      <c r="C46" s="2" t="s">
        <v>144</v>
      </c>
      <c r="D46" s="200" t="s">
        <v>144</v>
      </c>
      <c r="E46" s="11"/>
      <c r="F46" s="55"/>
      <c r="H46" s="64" t="s">
        <v>2182</v>
      </c>
    </row>
    <row r="47" spans="1:8" ht="20.25" customHeight="1" x14ac:dyDescent="0.3">
      <c r="A47" s="35" t="s">
        <v>2305</v>
      </c>
      <c r="B47" s="200" t="s">
        <v>144</v>
      </c>
      <c r="C47" s="2" t="s">
        <v>144</v>
      </c>
      <c r="D47" s="200" t="s">
        <v>144</v>
      </c>
      <c r="E47" s="11"/>
      <c r="F47" s="55"/>
      <c r="H47" s="64" t="s">
        <v>2182</v>
      </c>
    </row>
    <row r="48" spans="1:8" ht="108.75" customHeight="1" x14ac:dyDescent="0.3">
      <c r="A48" s="16" t="s">
        <v>2604</v>
      </c>
      <c r="B48" s="200" t="s">
        <v>144</v>
      </c>
      <c r="C48" s="2" t="s">
        <v>144</v>
      </c>
      <c r="D48" s="200" t="s">
        <v>144</v>
      </c>
      <c r="E48" s="11"/>
      <c r="F48" s="55"/>
      <c r="H48" s="64" t="s">
        <v>2182</v>
      </c>
    </row>
    <row r="49" spans="1:8" ht="112.5" x14ac:dyDescent="0.3">
      <c r="A49" s="16" t="s">
        <v>2391</v>
      </c>
      <c r="B49" s="200" t="s">
        <v>144</v>
      </c>
      <c r="C49" s="2" t="s">
        <v>144</v>
      </c>
      <c r="D49" s="200" t="s">
        <v>144</v>
      </c>
      <c r="E49" s="11"/>
      <c r="F49" s="55"/>
      <c r="G49" s="95"/>
      <c r="H49" s="64" t="s">
        <v>2182</v>
      </c>
    </row>
  </sheetData>
  <sheetProtection algorithmName="SHA-512" hashValue="6XwnGuqQ1a8MU5mTivEt/W1uJR75NCoidYlPD3XCmI+1vzI921dqj/LSGntdjLN1MnhQosPyrzrZhOlMl+rsQQ==" saltValue="UGizrC8Wd/GKjl/Cawwdow==" spinCount="100000" sheet="1" objects="1" scenarios="1" autoFilter="0"/>
  <autoFilter ref="B5:G49" xr:uid="{00000000-0009-0000-0000-000022000000}"/>
  <customSheetViews>
    <customSheetView guid="{33D191C9-AE75-45EC-B301-B583C3381734}" showGridLines="0" fitToPage="1" printArea="1" showAutoFilter="1">
      <pane ySplit="5" topLeftCell="A48" activePane="bottomLeft" state="frozen"/>
      <selection pane="bottomLeft"/>
      <pageMargins left="0.75" right="0.75" top="1" bottom="1" header="0.5" footer="0.5"/>
      <pageSetup paperSize="9" scale="60" fitToHeight="100" orientation="landscape" r:id="rId1"/>
      <headerFooter alignWithMargins="0"/>
      <autoFilter ref="B1:G1" xr:uid="{09F1C5E3-2ABC-48FB-9507-09C258C5E68E}"/>
    </customSheetView>
  </customSheetViews>
  <mergeCells count="1">
    <mergeCell ref="B4:F4"/>
  </mergeCells>
  <phoneticPr fontId="2" type="noConversion"/>
  <dataValidations count="1">
    <dataValidation type="list" allowBlank="1" showInputMessage="1" showErrorMessage="1" sqref="F6:F7 F9:F49" xr:uid="{00000000-0002-0000-2200-000000000000}">
      <formula1>"Akkoord,Opmerking,N.v.t.,,"</formula1>
    </dataValidation>
  </dataValidations>
  <hyperlinks>
    <hyperlink ref="A5" location="'Financ. anal en kengetallen'!A2" display="Financiële analyses en kengetallen" xr:uid="{00000000-0004-0000-2200-000000000000}"/>
  </hyperlinks>
  <pageMargins left="0.75" right="0.75" top="1" bottom="1" header="0.5" footer="0.5"/>
  <pageSetup paperSize="9" scale="60"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4824"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Blad25">
    <tabColor rgb="FF951B81"/>
    <pageSetUpPr fitToPage="1"/>
  </sheetPr>
  <dimension ref="A1:J17"/>
  <sheetViews>
    <sheetView showGridLines="0" zoomScaleNormal="100" workbookViewId="0">
      <pane ySplit="5" topLeftCell="A6" activePane="bottomLeft" state="frozen"/>
      <selection activeCell="F6" sqref="F6"/>
      <selection pane="bottomLeft"/>
    </sheetView>
  </sheetViews>
  <sheetFormatPr defaultColWidth="9.1796875" defaultRowHeight="13" x14ac:dyDescent="0.25"/>
  <cols>
    <col min="1" max="1" width="60.7265625" style="18" customWidth="1"/>
    <col min="2" max="2" width="10.7265625" style="1" customWidth="1"/>
    <col min="3" max="3" width="10.81640625" style="1" customWidth="1"/>
    <col min="4" max="4" width="8.453125" style="1" customWidth="1"/>
    <col min="5" max="5" width="10.7265625" style="1" customWidth="1"/>
    <col min="6" max="6" width="10.7265625" style="59" customWidth="1"/>
    <col min="7" max="7" width="22.81640625" style="60" bestFit="1" customWidth="1"/>
    <col min="8" max="10" width="9.1796875" style="59"/>
    <col min="11" max="16384" width="9.1796875" style="1"/>
  </cols>
  <sheetData>
    <row r="1" spans="1:10" s="44" customFormat="1" ht="23" x14ac:dyDescent="0.25">
      <c r="A1" s="183" t="s">
        <v>2854</v>
      </c>
      <c r="F1" s="56"/>
      <c r="G1" s="75"/>
      <c r="H1" s="56"/>
      <c r="I1" s="56"/>
      <c r="J1" s="56"/>
    </row>
    <row r="2" spans="1:10" s="45" customFormat="1" ht="15.5" x14ac:dyDescent="0.25">
      <c r="A2" s="184" t="s">
        <v>1098</v>
      </c>
      <c r="F2" s="57"/>
      <c r="G2" s="76"/>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60"/>
      <c r="H4" s="58"/>
      <c r="I4" s="58"/>
      <c r="J4" s="58"/>
    </row>
    <row r="5" spans="1:10" ht="15.5" x14ac:dyDescent="0.25">
      <c r="A5" s="196" t="s">
        <v>715</v>
      </c>
      <c r="B5" s="233" t="s">
        <v>642</v>
      </c>
      <c r="C5" s="233" t="s">
        <v>643</v>
      </c>
      <c r="D5" s="233" t="s">
        <v>644</v>
      </c>
      <c r="E5" s="232" t="s">
        <v>645</v>
      </c>
      <c r="F5" s="233" t="s">
        <v>54</v>
      </c>
      <c r="G5" s="199" t="s">
        <v>2858</v>
      </c>
    </row>
    <row r="6" spans="1:10" x14ac:dyDescent="0.3">
      <c r="A6" s="31" t="s">
        <v>546</v>
      </c>
      <c r="B6" s="208" t="s">
        <v>144</v>
      </c>
      <c r="C6" s="32"/>
      <c r="D6" s="208"/>
      <c r="E6" s="32"/>
      <c r="F6" s="55"/>
      <c r="H6" s="64"/>
    </row>
    <row r="7" spans="1:10" ht="25" x14ac:dyDescent="0.3">
      <c r="A7" s="16" t="s">
        <v>2544</v>
      </c>
      <c r="B7" s="200" t="s">
        <v>646</v>
      </c>
      <c r="C7" s="2"/>
      <c r="D7" s="200"/>
      <c r="E7" s="2" t="s">
        <v>275</v>
      </c>
      <c r="F7" s="55"/>
      <c r="H7" s="64"/>
    </row>
    <row r="8" spans="1:10" ht="37.5" x14ac:dyDescent="0.3">
      <c r="A8" s="16" t="s">
        <v>390</v>
      </c>
      <c r="B8" s="200" t="s">
        <v>646</v>
      </c>
      <c r="C8" s="2"/>
      <c r="D8" s="200"/>
      <c r="E8" s="2"/>
      <c r="F8" s="55"/>
      <c r="G8" s="59"/>
      <c r="H8" s="64"/>
    </row>
    <row r="9" spans="1:10" ht="25" x14ac:dyDescent="0.3">
      <c r="A9" s="16" t="s">
        <v>391</v>
      </c>
      <c r="B9" s="200" t="s">
        <v>646</v>
      </c>
      <c r="C9" s="2"/>
      <c r="D9" s="200"/>
      <c r="E9" s="2"/>
      <c r="F9" s="55"/>
      <c r="H9" s="64"/>
    </row>
    <row r="10" spans="1:10" x14ac:dyDescent="0.3">
      <c r="A10" s="16" t="s">
        <v>547</v>
      </c>
      <c r="B10" s="200" t="s">
        <v>646</v>
      </c>
      <c r="C10" s="2" t="s">
        <v>646</v>
      </c>
      <c r="D10" s="200"/>
      <c r="E10" s="2"/>
      <c r="F10" s="55"/>
      <c r="H10" s="64"/>
    </row>
    <row r="11" spans="1:10" ht="37.5" x14ac:dyDescent="0.3">
      <c r="A11" s="16" t="s">
        <v>1791</v>
      </c>
      <c r="B11" s="200" t="s">
        <v>646</v>
      </c>
      <c r="C11" s="2" t="s">
        <v>646</v>
      </c>
      <c r="D11" s="200"/>
      <c r="E11" s="16" t="s">
        <v>393</v>
      </c>
      <c r="F11" s="55"/>
      <c r="H11" s="64"/>
    </row>
    <row r="12" spans="1:10" ht="25" x14ac:dyDescent="0.3">
      <c r="A12" s="16" t="s">
        <v>392</v>
      </c>
      <c r="B12" s="200" t="s">
        <v>646</v>
      </c>
      <c r="C12" s="2"/>
      <c r="D12" s="200"/>
      <c r="E12" s="2" t="s">
        <v>275</v>
      </c>
      <c r="F12" s="55"/>
      <c r="H12" s="64"/>
    </row>
    <row r="13" spans="1:10" x14ac:dyDescent="0.3">
      <c r="A13" s="79" t="s">
        <v>1417</v>
      </c>
      <c r="B13" s="200" t="s">
        <v>646</v>
      </c>
      <c r="C13" s="2"/>
      <c r="D13" s="200"/>
      <c r="E13" s="2"/>
      <c r="F13" s="55"/>
      <c r="H13" s="64"/>
    </row>
    <row r="14" spans="1:10" x14ac:dyDescent="0.3">
      <c r="A14" s="79" t="s">
        <v>169</v>
      </c>
      <c r="B14" s="200" t="s">
        <v>646</v>
      </c>
      <c r="C14" s="2"/>
      <c r="D14" s="200"/>
      <c r="E14" s="2"/>
      <c r="F14" s="55"/>
      <c r="H14" s="64"/>
    </row>
    <row r="15" spans="1:10" ht="25" x14ac:dyDescent="0.3">
      <c r="A15" s="16" t="s">
        <v>1087</v>
      </c>
      <c r="B15" s="200" t="s">
        <v>646</v>
      </c>
      <c r="C15" s="2"/>
      <c r="D15" s="200"/>
      <c r="E15" s="16" t="s">
        <v>742</v>
      </c>
      <c r="F15" s="111"/>
      <c r="H15" s="64"/>
    </row>
    <row r="16" spans="1:10" ht="66" customHeight="1" x14ac:dyDescent="0.3">
      <c r="A16" s="16" t="s">
        <v>1088</v>
      </c>
      <c r="B16" s="200" t="s">
        <v>646</v>
      </c>
      <c r="C16" s="2"/>
      <c r="D16" s="200"/>
      <c r="E16" s="16"/>
      <c r="F16" s="50"/>
      <c r="H16" s="64"/>
    </row>
    <row r="17" spans="1:8" ht="50" x14ac:dyDescent="0.3">
      <c r="A17" s="17" t="s">
        <v>1089</v>
      </c>
      <c r="B17" s="209" t="s">
        <v>646</v>
      </c>
      <c r="C17" s="4"/>
      <c r="D17" s="209"/>
      <c r="E17" s="17" t="s">
        <v>743</v>
      </c>
      <c r="F17" s="90"/>
      <c r="H17" s="64"/>
    </row>
  </sheetData>
  <sheetProtection algorithmName="SHA-512" hashValue="8eoM6uqw9wA3RMD9ZiS9+VN8J+w4PLdlvdLbaDTrs7MvGuqb49MiT6IlwrZLqshlbzjWkVGMidO0AqueCec1Sw==" saltValue="/0j/YomUNW2h2XIrdFfMBw==" spinCount="100000" sheet="1" objects="1" scenarios="1" autoFilter="0"/>
  <autoFilter ref="B5:G17" xr:uid="{00000000-0009-0000-0000-000023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1" fitToHeight="100" orientation="landscape" r:id="rId1"/>
      <headerFooter alignWithMargins="0"/>
      <autoFilter ref="B1:G1" xr:uid="{BF0CEC49-BD52-4303-A4C5-FAB18D3E5D7A}"/>
    </customSheetView>
  </customSheetViews>
  <mergeCells count="1">
    <mergeCell ref="B4:F4"/>
  </mergeCells>
  <phoneticPr fontId="2" type="noConversion"/>
  <dataValidations count="1">
    <dataValidation type="list" allowBlank="1" showInputMessage="1" showErrorMessage="1" sqref="F6:F17" xr:uid="{00000000-0002-0000-2300-000000000000}">
      <formula1>"Akkoord,Opmerking,N.v.t.,,"</formula1>
    </dataValidation>
  </dataValidations>
  <hyperlinks>
    <hyperlink ref="A5" location="Segmentatie!A2" display="SEGMENTATIE" xr:uid="{00000000-0004-0000-2300-000000000000}"/>
  </hyperlinks>
  <pageMargins left="0.75" right="0.75" top="1" bottom="1" header="0.5" footer="0.5"/>
  <pageSetup paperSize="9" scale="81"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6629"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Blad20">
    <tabColor rgb="FF951B81"/>
    <pageSetUpPr fitToPage="1"/>
  </sheetPr>
  <dimension ref="A1:J16"/>
  <sheetViews>
    <sheetView showGridLines="0" zoomScaleNormal="100" workbookViewId="0">
      <pane ySplit="5" topLeftCell="A6" activePane="bottomLeft" state="frozen"/>
      <selection activeCell="F6" sqref="F6"/>
      <selection pane="bottomLeft"/>
    </sheetView>
  </sheetViews>
  <sheetFormatPr defaultColWidth="9.1796875" defaultRowHeight="12.5" x14ac:dyDescent="0.25"/>
  <cols>
    <col min="1" max="1" width="60.7265625" style="18" customWidth="1"/>
    <col min="2" max="2" width="10.7265625" style="1" customWidth="1"/>
    <col min="3" max="3" width="10.81640625" style="1" customWidth="1"/>
    <col min="4" max="4" width="8.453125" style="1" customWidth="1"/>
    <col min="5" max="5" width="10.7265625" style="1" customWidth="1"/>
    <col min="6" max="6" width="10.7265625" style="59" customWidth="1"/>
    <col min="7" max="7" width="23.453125" style="59" customWidth="1"/>
    <col min="8" max="10" width="9.1796875" style="59"/>
    <col min="11" max="16384" width="9.1796875" style="1"/>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58"/>
      <c r="H4" s="58"/>
      <c r="I4" s="58"/>
      <c r="J4" s="58"/>
    </row>
    <row r="5" spans="1:10" ht="15.5" x14ac:dyDescent="0.25">
      <c r="A5" s="196" t="s">
        <v>41</v>
      </c>
      <c r="B5" s="233" t="s">
        <v>642</v>
      </c>
      <c r="C5" s="233" t="s">
        <v>643</v>
      </c>
      <c r="D5" s="233" t="s">
        <v>644</v>
      </c>
      <c r="E5" s="232" t="s">
        <v>645</v>
      </c>
      <c r="F5" s="233" t="s">
        <v>54</v>
      </c>
      <c r="G5" s="199" t="s">
        <v>2858</v>
      </c>
    </row>
    <row r="6" spans="1:10" ht="13" x14ac:dyDescent="0.3">
      <c r="A6" s="31" t="s">
        <v>546</v>
      </c>
      <c r="B6" s="208" t="s">
        <v>144</v>
      </c>
      <c r="C6" s="32" t="s">
        <v>144</v>
      </c>
      <c r="D6" s="208" t="s">
        <v>144</v>
      </c>
      <c r="E6" s="32"/>
      <c r="F6" s="55"/>
      <c r="H6" s="64"/>
    </row>
    <row r="7" spans="1:10" ht="25.5" customHeight="1" x14ac:dyDescent="0.3">
      <c r="A7" s="16" t="s">
        <v>1991</v>
      </c>
      <c r="B7" s="200" t="s">
        <v>144</v>
      </c>
      <c r="C7" s="2" t="s">
        <v>144</v>
      </c>
      <c r="D7" s="200" t="s">
        <v>144</v>
      </c>
      <c r="E7" s="2" t="s">
        <v>1090</v>
      </c>
      <c r="F7" s="55"/>
      <c r="H7" s="64"/>
    </row>
    <row r="8" spans="1:10" ht="13" x14ac:dyDescent="0.3">
      <c r="A8" s="16" t="s">
        <v>42</v>
      </c>
      <c r="B8" s="200" t="s">
        <v>144</v>
      </c>
      <c r="C8" s="2" t="s">
        <v>144</v>
      </c>
      <c r="D8" s="200" t="s">
        <v>144</v>
      </c>
      <c r="E8" s="16" t="s">
        <v>60</v>
      </c>
      <c r="F8" s="55"/>
      <c r="H8" s="64"/>
    </row>
    <row r="9" spans="1:10" ht="13" x14ac:dyDescent="0.3">
      <c r="A9" s="16" t="s">
        <v>302</v>
      </c>
      <c r="B9" s="200" t="s">
        <v>144</v>
      </c>
      <c r="C9" s="2" t="s">
        <v>144</v>
      </c>
      <c r="D9" s="200" t="s">
        <v>144</v>
      </c>
      <c r="E9" s="2"/>
      <c r="F9" s="55"/>
      <c r="H9" s="64"/>
    </row>
    <row r="10" spans="1:10" ht="37.5" x14ac:dyDescent="0.3">
      <c r="A10" s="16" t="s">
        <v>2545</v>
      </c>
      <c r="B10" s="200" t="s">
        <v>144</v>
      </c>
      <c r="C10" s="2" t="s">
        <v>144</v>
      </c>
      <c r="D10" s="200" t="s">
        <v>144</v>
      </c>
      <c r="E10" s="16" t="s">
        <v>61</v>
      </c>
      <c r="F10" s="55"/>
      <c r="H10" s="64"/>
    </row>
    <row r="11" spans="1:10" ht="25" x14ac:dyDescent="0.3">
      <c r="A11" s="16" t="s">
        <v>2546</v>
      </c>
      <c r="B11" s="200" t="s">
        <v>144</v>
      </c>
      <c r="C11" s="2" t="s">
        <v>144</v>
      </c>
      <c r="D11" s="200" t="s">
        <v>144</v>
      </c>
      <c r="E11" s="16" t="s">
        <v>62</v>
      </c>
      <c r="F11" s="55"/>
      <c r="G11" s="60"/>
      <c r="H11" s="64"/>
    </row>
    <row r="12" spans="1:10" ht="25" x14ac:dyDescent="0.3">
      <c r="A12" s="16" t="s">
        <v>57</v>
      </c>
      <c r="B12" s="200" t="s">
        <v>144</v>
      </c>
      <c r="C12" s="2" t="s">
        <v>144</v>
      </c>
      <c r="D12" s="200" t="s">
        <v>144</v>
      </c>
      <c r="E12" s="2"/>
      <c r="F12" s="55"/>
      <c r="H12" s="64"/>
    </row>
    <row r="13" spans="1:10" ht="37.5" x14ac:dyDescent="0.3">
      <c r="A13" s="16" t="s">
        <v>58</v>
      </c>
      <c r="B13" s="200" t="s">
        <v>144</v>
      </c>
      <c r="C13" s="2" t="s">
        <v>144</v>
      </c>
      <c r="D13" s="200" t="s">
        <v>144</v>
      </c>
      <c r="E13" s="16" t="s">
        <v>63</v>
      </c>
      <c r="F13" s="55"/>
      <c r="H13" s="64"/>
    </row>
    <row r="14" spans="1:10" ht="25" x14ac:dyDescent="0.3">
      <c r="A14" s="16" t="s">
        <v>59</v>
      </c>
      <c r="B14" s="200" t="s">
        <v>144</v>
      </c>
      <c r="C14" s="2" t="s">
        <v>144</v>
      </c>
      <c r="D14" s="200" t="s">
        <v>144</v>
      </c>
      <c r="E14" s="16" t="s">
        <v>314</v>
      </c>
      <c r="F14" s="55"/>
      <c r="H14" s="64"/>
    </row>
    <row r="15" spans="1:10" ht="13" x14ac:dyDescent="0.3">
      <c r="A15" s="16" t="s">
        <v>547</v>
      </c>
      <c r="B15" s="200" t="s">
        <v>646</v>
      </c>
      <c r="C15" s="2" t="s">
        <v>646</v>
      </c>
      <c r="D15" s="200" t="s">
        <v>843</v>
      </c>
      <c r="E15" s="2"/>
      <c r="F15" s="55"/>
      <c r="H15" s="64"/>
    </row>
    <row r="16" spans="1:10" ht="25" x14ac:dyDescent="0.3">
      <c r="A16" s="17" t="s">
        <v>2547</v>
      </c>
      <c r="B16" s="209" t="s">
        <v>646</v>
      </c>
      <c r="C16" s="4" t="s">
        <v>646</v>
      </c>
      <c r="D16" s="209" t="s">
        <v>843</v>
      </c>
      <c r="E16" s="112" t="s">
        <v>315</v>
      </c>
      <c r="F16" s="55"/>
      <c r="H16" s="64"/>
    </row>
  </sheetData>
  <sheetProtection algorithmName="SHA-512" hashValue="sOW+0OjldK0KDJ0ubd3sfE3YyE+u4R2NQYZitQe51/u8lHheCf5ifrXpfKkQ5WYd5RIsnTNEIKmN0NzSzH7FQA==" saltValue="6eqazfa2OwNeVoQ4pcfZgw==" spinCount="100000" sheet="1" objects="1" scenarios="1" autoFilter="0"/>
  <autoFilter ref="B5:G16" xr:uid="{00000000-0009-0000-0000-000024000000}"/>
  <customSheetViews>
    <customSheetView guid="{33D191C9-AE75-45EC-B301-B583C3381734}" showGridLines="0" fitToPage="1" printArea="1" showAutoFilter="1">
      <pane ySplit="5" topLeftCell="A6" activePane="bottomLeft" state="frozen"/>
      <selection pane="bottomLeft"/>
      <pageMargins left="0.75" right="0.75" top="1" bottom="1" header="0.5" footer="0.5"/>
      <pageSetup paperSize="9" scale="83" fitToHeight="100" orientation="landscape" r:id="rId1"/>
      <headerFooter alignWithMargins="0"/>
      <autoFilter ref="B1:G1" xr:uid="{2BDD56A6-DE65-4D76-B663-16CA86CE805E}"/>
    </customSheetView>
  </customSheetViews>
  <mergeCells count="1">
    <mergeCell ref="B4:F4"/>
  </mergeCells>
  <phoneticPr fontId="2" type="noConversion"/>
  <dataValidations count="1">
    <dataValidation type="list" allowBlank="1" showInputMessage="1" showErrorMessage="1" sqref="F6:F16" xr:uid="{00000000-0002-0000-2400-000000000000}">
      <formula1>"Akkoord,Opmerking,N.v.t.,,"</formula1>
    </dataValidation>
  </dataValidations>
  <hyperlinks>
    <hyperlink ref="A5" location="'Samengestelde transacties'!A2" display="Samengestelde transacties" xr:uid="{00000000-0004-0000-2400-000000000000}"/>
  </hyperlinks>
  <pageMargins left="0.75" right="0.75" top="1" bottom="1" header="0.5" footer="0.5"/>
  <pageSetup paperSize="9" scale="83"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33" r:id="rId5" name="Button 5">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Blad32">
    <tabColor rgb="FF951B81"/>
    <pageSetUpPr fitToPage="1"/>
  </sheetPr>
  <dimension ref="A1:J16"/>
  <sheetViews>
    <sheetView showGridLines="0" zoomScaleNormal="100" workbookViewId="0"/>
  </sheetViews>
  <sheetFormatPr defaultColWidth="9.1796875" defaultRowHeight="12.5" x14ac:dyDescent="0.25"/>
  <cols>
    <col min="1" max="1" width="60.7265625" style="18" customWidth="1"/>
    <col min="2" max="2" width="10.7265625" style="1" customWidth="1"/>
    <col min="3" max="3" width="10.81640625" style="1" customWidth="1"/>
    <col min="4" max="4" width="8.453125" style="1" customWidth="1"/>
    <col min="5" max="5" width="11.7265625" style="1" customWidth="1"/>
    <col min="6" max="6" width="10.7265625" style="59" customWidth="1"/>
    <col min="7" max="7" width="22.81640625" style="59" bestFit="1" customWidth="1"/>
    <col min="8" max="10" width="9.1796875" style="59"/>
    <col min="11" max="16384" width="9.1796875" style="1"/>
  </cols>
  <sheetData>
    <row r="1" spans="1:10" s="44" customFormat="1" ht="22.5" x14ac:dyDescent="0.25">
      <c r="A1" s="183" t="s">
        <v>2854</v>
      </c>
      <c r="F1" s="56"/>
      <c r="G1" s="56"/>
      <c r="H1" s="56"/>
      <c r="I1" s="56"/>
      <c r="J1" s="56"/>
    </row>
    <row r="2" spans="1:10" s="45" customFormat="1" ht="15.5" x14ac:dyDescent="0.25">
      <c r="A2" s="184" t="s">
        <v>1098</v>
      </c>
      <c r="F2" s="57"/>
      <c r="G2" s="57"/>
      <c r="H2" s="57"/>
      <c r="I2" s="57"/>
      <c r="J2" s="57"/>
    </row>
    <row r="4" spans="1:10" s="6" customFormat="1" ht="20.149999999999999" customHeight="1" x14ac:dyDescent="0.25">
      <c r="B4" s="252" t="str">
        <f>CONCATENATE("Klant en boekjaar: ",Klantnummer,"; ",Naam_klant,";  ",Boekjaar)</f>
        <v xml:space="preserve">Klant en boekjaar: ; ;  </v>
      </c>
      <c r="C4" s="253"/>
      <c r="D4" s="253"/>
      <c r="E4" s="253"/>
      <c r="F4" s="253"/>
      <c r="G4" s="58"/>
      <c r="H4" s="58"/>
      <c r="I4" s="58"/>
      <c r="J4" s="58"/>
    </row>
    <row r="5" spans="1:10" ht="15.5" x14ac:dyDescent="0.25">
      <c r="A5" s="196" t="s">
        <v>485</v>
      </c>
      <c r="B5" s="233" t="s">
        <v>642</v>
      </c>
      <c r="C5" s="233" t="s">
        <v>643</v>
      </c>
      <c r="D5" s="233" t="s">
        <v>644</v>
      </c>
      <c r="E5" s="232" t="s">
        <v>645</v>
      </c>
      <c r="F5" s="233" t="s">
        <v>54</v>
      </c>
      <c r="G5" s="199" t="s">
        <v>2858</v>
      </c>
    </row>
    <row r="6" spans="1:10" ht="25" x14ac:dyDescent="0.3">
      <c r="A6" s="31" t="s">
        <v>486</v>
      </c>
      <c r="B6" s="208" t="s">
        <v>144</v>
      </c>
      <c r="C6" s="32" t="s">
        <v>144</v>
      </c>
      <c r="D6" s="208" t="s">
        <v>144</v>
      </c>
      <c r="E6" s="32"/>
      <c r="F6" s="55"/>
      <c r="G6" s="60"/>
      <c r="H6" s="64"/>
    </row>
    <row r="7" spans="1:10" ht="25" x14ac:dyDescent="0.3">
      <c r="A7" s="16" t="s">
        <v>2548</v>
      </c>
      <c r="B7" s="208" t="s">
        <v>144</v>
      </c>
      <c r="C7" s="32" t="s">
        <v>144</v>
      </c>
      <c r="D7" s="208" t="s">
        <v>144</v>
      </c>
      <c r="E7" s="16" t="s">
        <v>1092</v>
      </c>
      <c r="F7" s="55"/>
      <c r="G7" s="60"/>
      <c r="H7" s="64"/>
    </row>
    <row r="8" spans="1:10" ht="24.75" customHeight="1" x14ac:dyDescent="0.3">
      <c r="A8" s="16" t="s">
        <v>1095</v>
      </c>
      <c r="B8" s="208" t="s">
        <v>144</v>
      </c>
      <c r="C8" s="32" t="s">
        <v>144</v>
      </c>
      <c r="D8" s="208" t="s">
        <v>144</v>
      </c>
      <c r="E8" s="16" t="s">
        <v>1096</v>
      </c>
      <c r="F8" s="55"/>
      <c r="G8" s="60"/>
      <c r="H8" s="64"/>
    </row>
    <row r="9" spans="1:10" ht="62.5" x14ac:dyDescent="0.3">
      <c r="A9" s="16" t="s">
        <v>2749</v>
      </c>
      <c r="B9" s="208" t="s">
        <v>144</v>
      </c>
      <c r="C9" s="32" t="s">
        <v>144</v>
      </c>
      <c r="D9" s="208" t="s">
        <v>144</v>
      </c>
      <c r="E9" s="16"/>
      <c r="F9" s="55"/>
      <c r="G9" s="60"/>
      <c r="H9" s="64"/>
    </row>
    <row r="10" spans="1:10" ht="39" customHeight="1" x14ac:dyDescent="0.3">
      <c r="A10" s="16" t="s">
        <v>2972</v>
      </c>
      <c r="B10" s="208" t="s">
        <v>144</v>
      </c>
      <c r="C10" s="32" t="s">
        <v>144</v>
      </c>
      <c r="D10" s="208" t="s">
        <v>144</v>
      </c>
      <c r="E10" s="16"/>
      <c r="F10" s="55"/>
      <c r="G10" s="60" t="s">
        <v>2859</v>
      </c>
      <c r="H10" s="64"/>
    </row>
    <row r="11" spans="1:10" ht="65.150000000000006" customHeight="1" x14ac:dyDescent="0.3">
      <c r="A11" s="16" t="s">
        <v>2549</v>
      </c>
      <c r="B11" s="208" t="s">
        <v>144</v>
      </c>
      <c r="C11" s="32" t="s">
        <v>144</v>
      </c>
      <c r="D11" s="208" t="s">
        <v>144</v>
      </c>
      <c r="E11" s="16" t="s">
        <v>1992</v>
      </c>
      <c r="F11" s="55"/>
      <c r="G11" s="60"/>
      <c r="H11" s="64"/>
    </row>
    <row r="12" spans="1:10" ht="13" x14ac:dyDescent="0.3">
      <c r="A12" s="16" t="s">
        <v>487</v>
      </c>
      <c r="B12" s="208" t="s">
        <v>144</v>
      </c>
      <c r="C12" s="32" t="s">
        <v>144</v>
      </c>
      <c r="D12" s="208" t="s">
        <v>144</v>
      </c>
      <c r="E12" s="16" t="s">
        <v>1093</v>
      </c>
      <c r="F12" s="55"/>
      <c r="G12" s="60"/>
      <c r="H12" s="64"/>
    </row>
    <row r="13" spans="1:10" ht="43.5" customHeight="1" x14ac:dyDescent="0.3">
      <c r="A13" s="16" t="s">
        <v>2550</v>
      </c>
      <c r="B13" s="208" t="s">
        <v>144</v>
      </c>
      <c r="C13" s="32" t="s">
        <v>144</v>
      </c>
      <c r="D13" s="208" t="s">
        <v>144</v>
      </c>
      <c r="E13" s="16" t="s">
        <v>505</v>
      </c>
      <c r="F13" s="55"/>
      <c r="G13" s="60"/>
      <c r="H13" s="64"/>
    </row>
    <row r="14" spans="1:10" ht="25" x14ac:dyDescent="0.3">
      <c r="A14" s="16" t="s">
        <v>2000</v>
      </c>
      <c r="B14" s="208" t="s">
        <v>144</v>
      </c>
      <c r="C14" s="32" t="s">
        <v>144</v>
      </c>
      <c r="D14" s="208" t="s">
        <v>144</v>
      </c>
      <c r="E14" s="16" t="s">
        <v>1703</v>
      </c>
      <c r="F14" s="55"/>
      <c r="G14" s="95"/>
      <c r="H14" s="64"/>
    </row>
    <row r="15" spans="1:10" ht="25" x14ac:dyDescent="0.3">
      <c r="A15" s="16" t="s">
        <v>1993</v>
      </c>
      <c r="B15" s="208" t="s">
        <v>144</v>
      </c>
      <c r="C15" s="32" t="s">
        <v>144</v>
      </c>
      <c r="D15" s="208" t="s">
        <v>144</v>
      </c>
      <c r="E15" s="16" t="s">
        <v>1094</v>
      </c>
      <c r="F15" s="55"/>
      <c r="G15" s="95"/>
      <c r="H15" s="64"/>
    </row>
    <row r="16" spans="1:10" ht="25" x14ac:dyDescent="0.3">
      <c r="A16" s="17" t="s">
        <v>1994</v>
      </c>
      <c r="B16" s="208" t="s">
        <v>144</v>
      </c>
      <c r="C16" s="32" t="s">
        <v>144</v>
      </c>
      <c r="D16" s="208" t="s">
        <v>144</v>
      </c>
      <c r="E16" s="17" t="s">
        <v>1091</v>
      </c>
      <c r="F16" s="55"/>
      <c r="G16" s="95"/>
      <c r="H16" s="64"/>
    </row>
  </sheetData>
  <sheetProtection algorithmName="SHA-512" hashValue="jc9y7dZnWlE4K313iJiqYlhYVYLLEbHIAmxmCBrzYHm5SHOfG4CizKt9hFqF1mrv4YS0qMfRPVlhA3m/KcSHWQ==" saltValue="ZQgtPlneyMZG6w6KsE5PpA==" spinCount="100000" sheet="1" objects="1" scenarios="1" autoFilter="0"/>
  <autoFilter ref="B5:G16" xr:uid="{00000000-0009-0000-0000-000025000000}"/>
  <customSheetViews>
    <customSheetView guid="{33D191C9-AE75-45EC-B301-B583C3381734}" showGridLines="0" fitToPage="1" printArea="1" showAutoFilter="1">
      <pageMargins left="0.75" right="0.75" top="1" bottom="1" header="0.5" footer="0.5"/>
      <pageSetup paperSize="9" scale="82" fitToHeight="100" orientation="landscape" r:id="rId1"/>
      <headerFooter alignWithMargins="0"/>
      <autoFilter ref="B1:G1" xr:uid="{4192A13B-3FAC-47D7-999F-E93C3A30B1C3}"/>
    </customSheetView>
  </customSheetViews>
  <mergeCells count="1">
    <mergeCell ref="B4:F4"/>
  </mergeCells>
  <phoneticPr fontId="2" type="noConversion"/>
  <dataValidations count="1">
    <dataValidation type="list" allowBlank="1" showInputMessage="1" showErrorMessage="1" sqref="F6:F16" xr:uid="{00000000-0002-0000-2500-000000000000}">
      <formula1>"Akkoord,Opmerking,N.v.t.,,"</formula1>
    </dataValidation>
  </dataValidations>
  <hyperlinks>
    <hyperlink ref="A5" location="'Termijnen jaarrekening'!A2" display="Termijnen jaarrekening" xr:uid="{00000000-0004-0000-2500-000000000000}"/>
  </hyperlinks>
  <pageMargins left="0.75" right="0.75" top="1" bottom="1" header="0.5" footer="0.5"/>
  <pageSetup paperSize="9" scale="82" fitToHeight="10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9704" r:id="rId5" name="Button 8">
              <controlPr defaultSize="0" print="0" autoFill="0" autoPict="0" macro="[0]!Module1.Hoofdmenu">
                <anchor moveWithCells="1">
                  <from>
                    <xdr:col>0</xdr:col>
                    <xdr:colOff>0</xdr:colOff>
                    <xdr:row>3</xdr:row>
                    <xdr:rowOff>0</xdr:rowOff>
                  </from>
                  <to>
                    <xdr:col>0</xdr:col>
                    <xdr:colOff>1390650</xdr:colOff>
                    <xdr:row>3</xdr:row>
                    <xdr:rowOff>228600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tructure xmlns="thqs">{"Id":"00000000-0000-0000-0000-000000000000","ParentId":null,"Name":"Root","IsExpanded":false,"Children":[]}</Structure>
</file>

<file path=customXml/itemProps1.xml><?xml version="1.0" encoding="utf-8"?>
<ds:datastoreItem xmlns:ds="http://schemas.openxmlformats.org/officeDocument/2006/customXml" ds:itemID="{AE330D50-99ED-4222-87C4-09F8A5AEE35E}">
  <ds:schemaRefs>
    <ds:schemaRef ds:uri="thq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76</vt:i4>
      </vt:variant>
    </vt:vector>
  </HeadingPairs>
  <TitlesOfParts>
    <vt:vector size="114" baseType="lpstr">
      <vt:lpstr>Start</vt:lpstr>
      <vt:lpstr>Menu</vt:lpstr>
      <vt:lpstr>Klantgegevens</vt:lpstr>
      <vt:lpstr>Grondslagen en uitgangspunten</vt:lpstr>
      <vt:lpstr>Immateriële vaste activa</vt:lpstr>
      <vt:lpstr>Materiële vaste activa</vt:lpstr>
      <vt:lpstr>Financiële vaste activa</vt:lpstr>
      <vt:lpstr>Voorraden</vt:lpstr>
      <vt:lpstr>Vorderingen overl.activa</vt:lpstr>
      <vt:lpstr>Effecten</vt:lpstr>
      <vt:lpstr>Liquide middelen</vt:lpstr>
      <vt:lpstr>Niet in de balans opgen activa</vt:lpstr>
      <vt:lpstr>Eigen vermogen</vt:lpstr>
      <vt:lpstr>Voorzieningen</vt:lpstr>
      <vt:lpstr>Schulden lange korte termijn</vt:lpstr>
      <vt:lpstr>Niet in de balans opgen verpl.</vt:lpstr>
      <vt:lpstr>Winst- en verliesrek.</vt:lpstr>
      <vt:lpstr>Belasting naar de winst</vt:lpstr>
      <vt:lpstr>Beëindiging bedr.activiteiten</vt:lpstr>
      <vt:lpstr>Verbonden partijen</vt:lpstr>
      <vt:lpstr>Kasstroomoverzicht</vt:lpstr>
      <vt:lpstr>Bestuursverslag</vt:lpstr>
      <vt:lpstr>Overige gegevens</vt:lpstr>
      <vt:lpstr>Gebeurtenissen na balansdatum</vt:lpstr>
      <vt:lpstr>Overige toelichtingen</vt:lpstr>
      <vt:lpstr>Grote rechtspersonen</vt:lpstr>
      <vt:lpstr>Microrechtspersonen</vt:lpstr>
      <vt:lpstr>Ent zonder rechtspersoonlijkh</vt:lpstr>
      <vt:lpstr>Commerciële stichtingen en ver.</vt:lpstr>
      <vt:lpstr>Org. zonder winststreven</vt:lpstr>
      <vt:lpstr>Concernverhoudingen</vt:lpstr>
      <vt:lpstr>Financiële instrumenten</vt:lpstr>
      <vt:lpstr>Duurzaamheid</vt:lpstr>
      <vt:lpstr>Accountantscontrole</vt:lpstr>
      <vt:lpstr>Financ. anal en kengetallen</vt:lpstr>
      <vt:lpstr>Segmentatie</vt:lpstr>
      <vt:lpstr>Samengestelde transacties</vt:lpstr>
      <vt:lpstr>Termijnen jaarrekening</vt:lpstr>
      <vt:lpstr>Boekjaar</vt:lpstr>
      <vt:lpstr>Hoofdmenu</vt:lpstr>
      <vt:lpstr>Klantnummer</vt:lpstr>
      <vt:lpstr>Naam_klant</vt:lpstr>
      <vt:lpstr>Omvang__K_M_of_G</vt:lpstr>
      <vt:lpstr>Accountantscontrole!Print_Area</vt:lpstr>
      <vt:lpstr>'Beëindiging bedr.activiteiten'!Print_Area</vt:lpstr>
      <vt:lpstr>'Belasting naar de winst'!Print_Area</vt:lpstr>
      <vt:lpstr>Bestuursverslag!Print_Area</vt:lpstr>
      <vt:lpstr>'Commerciële stichtingen en ver.'!Print_Area</vt:lpstr>
      <vt:lpstr>Concernverhoudingen!Print_Area</vt:lpstr>
      <vt:lpstr>Effecten!Print_Area</vt:lpstr>
      <vt:lpstr>'Eigen vermogen'!Print_Area</vt:lpstr>
      <vt:lpstr>'Ent zonder rechtspersoonlijkh'!Print_Area</vt:lpstr>
      <vt:lpstr>'Financ. anal en kengetallen'!Print_Area</vt:lpstr>
      <vt:lpstr>'Financiële instrumenten'!Print_Area</vt:lpstr>
      <vt:lpstr>'Financiële vaste activa'!Print_Area</vt:lpstr>
      <vt:lpstr>'Gebeurtenissen na balansdatum'!Print_Area</vt:lpstr>
      <vt:lpstr>'Grondslagen en uitgangspunten'!Print_Area</vt:lpstr>
      <vt:lpstr>'Grote rechtspersonen'!Print_Area</vt:lpstr>
      <vt:lpstr>'Immateriële vaste activa'!Print_Area</vt:lpstr>
      <vt:lpstr>Kasstroomoverzicht!Print_Area</vt:lpstr>
      <vt:lpstr>Klantgegevens!Print_Area</vt:lpstr>
      <vt:lpstr>'Liquide middelen'!Print_Area</vt:lpstr>
      <vt:lpstr>'Materiële vaste activa'!Print_Area</vt:lpstr>
      <vt:lpstr>Menu!Print_Area</vt:lpstr>
      <vt:lpstr>Microrechtspersonen!Print_Area</vt:lpstr>
      <vt:lpstr>'Niet in de balans opgen activa'!Print_Area</vt:lpstr>
      <vt:lpstr>'Niet in de balans opgen verpl.'!Print_Area</vt:lpstr>
      <vt:lpstr>'Org. zonder winststreven'!Print_Area</vt:lpstr>
      <vt:lpstr>'Overige gegevens'!Print_Area</vt:lpstr>
      <vt:lpstr>'Overige toelichtingen'!Print_Area</vt:lpstr>
      <vt:lpstr>'Samengestelde transacties'!Print_Area</vt:lpstr>
      <vt:lpstr>'Schulden lange korte termijn'!Print_Area</vt:lpstr>
      <vt:lpstr>Segmentatie!Print_Area</vt:lpstr>
      <vt:lpstr>Start!Print_Area</vt:lpstr>
      <vt:lpstr>'Termijnen jaarrekening'!Print_Area</vt:lpstr>
      <vt:lpstr>'Verbonden partijen'!Print_Area</vt:lpstr>
      <vt:lpstr>Voorraden!Print_Area</vt:lpstr>
      <vt:lpstr>Voorzieningen!Print_Area</vt:lpstr>
      <vt:lpstr>'Vorderingen overl.activa'!Print_Area</vt:lpstr>
      <vt:lpstr>'Winst- en verliesrek.'!Print_Area</vt:lpstr>
      <vt:lpstr>Accountantscontrole!Print_Titles</vt:lpstr>
      <vt:lpstr>'Beëindiging bedr.activiteiten'!Print_Titles</vt:lpstr>
      <vt:lpstr>'Belasting naar de winst'!Print_Titles</vt:lpstr>
      <vt:lpstr>Bestuursverslag!Print_Titles</vt:lpstr>
      <vt:lpstr>'Commerciële stichtingen en ver.'!Print_Titles</vt:lpstr>
      <vt:lpstr>Concernverhoudingen!Print_Titles</vt:lpstr>
      <vt:lpstr>Effecten!Print_Titles</vt:lpstr>
      <vt:lpstr>'Eigen vermogen'!Print_Titles</vt:lpstr>
      <vt:lpstr>'Ent zonder rechtspersoonlijkh'!Print_Titles</vt:lpstr>
      <vt:lpstr>'Financ. anal en kengetallen'!Print_Titles</vt:lpstr>
      <vt:lpstr>'Financiële instrumenten'!Print_Titles</vt:lpstr>
      <vt:lpstr>'Financiële vaste activa'!Print_Titles</vt:lpstr>
      <vt:lpstr>'Gebeurtenissen na balansdatum'!Print_Titles</vt:lpstr>
      <vt:lpstr>'Grondslagen en uitgangspunten'!Print_Titles</vt:lpstr>
      <vt:lpstr>'Grote rechtspersonen'!Print_Titles</vt:lpstr>
      <vt:lpstr>'Immateriële vaste activa'!Print_Titles</vt:lpstr>
      <vt:lpstr>Kasstroomoverzicht!Print_Titles</vt:lpstr>
      <vt:lpstr>'Liquide middelen'!Print_Titles</vt:lpstr>
      <vt:lpstr>'Materiële vaste activa'!Print_Titles</vt:lpstr>
      <vt:lpstr>Microrechtspersonen!Print_Titles</vt:lpstr>
      <vt:lpstr>'Niet in de balans opgen activa'!Print_Titles</vt:lpstr>
      <vt:lpstr>'Niet in de balans opgen verpl.'!Print_Titles</vt:lpstr>
      <vt:lpstr>'Org. zonder winststreven'!Print_Titles</vt:lpstr>
      <vt:lpstr>'Overige gegevens'!Print_Titles</vt:lpstr>
      <vt:lpstr>'Overige toelichtingen'!Print_Titles</vt:lpstr>
      <vt:lpstr>'Samengestelde transacties'!Print_Titles</vt:lpstr>
      <vt:lpstr>'Schulden lange korte termijn'!Print_Titles</vt:lpstr>
      <vt:lpstr>Segmentatie!Print_Titles</vt:lpstr>
      <vt:lpstr>'Termijnen jaarrekening'!Print_Titles</vt:lpstr>
      <vt:lpstr>'Verbonden partijen'!Print_Titles</vt:lpstr>
      <vt:lpstr>Voorraden!Print_Titles</vt:lpstr>
      <vt:lpstr>Voorzieningen!Print_Titles</vt:lpstr>
      <vt:lpstr>'Vorderingen overl.activa'!Print_Titles</vt:lpstr>
      <vt:lpstr>'Winst- en verliesrek.'!Print_Titles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Patricia Zwijgers | SRA</dc:creator>
  <cp:lastModifiedBy>Paulo Bos</cp:lastModifiedBy>
  <dcterms:created xsi:type="dcterms:W3CDTF">2020-02-25T14:30:01Z</dcterms:created>
  <dcterms:modified xsi:type="dcterms:W3CDTF">2025-08-14T07:47:35Z</dcterms:modified>
</cp:coreProperties>
</file>